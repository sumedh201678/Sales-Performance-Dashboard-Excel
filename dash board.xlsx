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OneDrive\Desktop\SUMDH\"/>
    </mc:Choice>
  </mc:AlternateContent>
  <xr:revisionPtr revIDLastSave="0" documentId="8_{BE0418C2-06B6-4A84-892D-8B0EC47A954C}" xr6:coauthVersionLast="47" xr6:coauthVersionMax="47" xr10:uidLastSave="{00000000-0000-0000-0000-000000000000}"/>
  <bookViews>
    <workbookView xWindow="-108" yWindow="-108" windowWidth="23256" windowHeight="12576" activeTab="2" xr2:uid="{79DDFEA5-D9CC-40C5-8253-64A907CA7CE1}"/>
  </bookViews>
  <sheets>
    <sheet name="Abouts" sheetId="9" r:id="rId1"/>
    <sheet name="Salesman" sheetId="8" r:id="rId2"/>
    <sheet name="Product" sheetId="7" r:id="rId3"/>
    <sheet name="Dashboard" sheetId="2" r:id="rId4"/>
    <sheet name="pivot tabe" sheetId="3" r:id="rId5"/>
    <sheet name="sales by region" sheetId="4" r:id="rId6"/>
    <sheet name="Data" sheetId="1" r:id="rId7"/>
  </sheets>
  <definedNames>
    <definedName name="_xlnm._FilterDatabase" localSheetId="6" hidden="1">Data!$A$1:$H$29</definedName>
    <definedName name="Slicer_Date">#N/A</definedName>
    <definedName name="Slicer_Item1">#N/A</definedName>
    <definedName name="Slicer_Region1">#N/A</definedName>
  </definedNames>
  <calcPr calcId="18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38" i="4" l="1"/>
  <c r="B34" i="4"/>
  <c r="H14" i="1"/>
  <c r="H18" i="1"/>
  <c r="H21" i="1"/>
  <c r="H26" i="1"/>
  <c r="H11" i="1"/>
  <c r="H16" i="1"/>
  <c r="H2" i="1"/>
  <c r="H22" i="1"/>
  <c r="H29" i="1"/>
  <c r="H4" i="1"/>
  <c r="H17" i="1"/>
  <c r="H25" i="1"/>
  <c r="H8" i="1"/>
  <c r="H5" i="1"/>
  <c r="H9" i="1"/>
  <c r="H13" i="1"/>
  <c r="H15" i="1"/>
  <c r="H19" i="1"/>
  <c r="H20" i="1"/>
  <c r="H23" i="1"/>
  <c r="H24" i="1"/>
  <c r="H27" i="1"/>
  <c r="H7" i="1"/>
  <c r="H3" i="1"/>
  <c r="H6" i="1"/>
  <c r="H10" i="1"/>
  <c r="H12" i="1"/>
  <c r="H28" i="1"/>
</calcChain>
</file>

<file path=xl/sharedStrings.xml><?xml version="1.0" encoding="utf-8"?>
<sst xmlns="http://schemas.openxmlformats.org/spreadsheetml/2006/main" count="176" uniqueCount="29">
  <si>
    <t>SR number</t>
  </si>
  <si>
    <t>Date</t>
  </si>
  <si>
    <t>Salesman</t>
  </si>
  <si>
    <t>Region</t>
  </si>
  <si>
    <t>Item</t>
  </si>
  <si>
    <t>qty</t>
  </si>
  <si>
    <t>Price</t>
  </si>
  <si>
    <t>Amount</t>
  </si>
  <si>
    <t>Ram Mahesh</t>
  </si>
  <si>
    <t>Brien Boise</t>
  </si>
  <si>
    <t>Husein Augar</t>
  </si>
  <si>
    <t>Carla Molina</t>
  </si>
  <si>
    <t>Curtice Advani</t>
  </si>
  <si>
    <t>East</t>
  </si>
  <si>
    <t>North</t>
  </si>
  <si>
    <t>central</t>
  </si>
  <si>
    <t>South</t>
  </si>
  <si>
    <t>West</t>
  </si>
  <si>
    <t>Printer</t>
  </si>
  <si>
    <t>Mouse</t>
  </si>
  <si>
    <t>Monitor</t>
  </si>
  <si>
    <t>Speaker</t>
  </si>
  <si>
    <t>Keyboard</t>
  </si>
  <si>
    <t>Scanner</t>
  </si>
  <si>
    <t>Row Labels</t>
  </si>
  <si>
    <t>Grand Total</t>
  </si>
  <si>
    <t>Sum of Amount</t>
  </si>
  <si>
    <t>Sum of qty</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</si>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</sst>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entury Gothic"/>
      <family val="2"/>
      <scheme val="minor"/>
    </font>
    <font>
      <b/>
      <sz val="11"/>
      <color theme="1"/>
      <name val="Century Gothic"/>
      <family val="2"/>
      <scheme val="minor"/>
    </font>
    <font>
      <sz val="10"/>
      <color theme="1"/>
      <name val="Gill Sans MT"/>
      <family val="2"/>
    </font>
  </fonts>
  <fills count="6">
    <fill>
      <patternFill patternType="none"/>
    </fill>
    <fill>
      <patternFill patternType="gray125"/>
    </fill>
    <fill>
      <patternFill patternType="solid">
        <fgColor theme="0"/>
        <bgColor indexed="64"/>
      </patternFill>
    </fill>
    <fill>
      <patternFill patternType="solid">
        <fgColor theme="0"/>
        <bgColor theme="0" tint="-0.14999847407452621"/>
      </patternFill>
    </fill>
    <fill>
      <patternFill patternType="solid">
        <fgColor rgb="FFFFC0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16">
    <xf numFmtId="0" fontId="0" fillId="0" borderId="0" xfId="0"/>
    <xf numFmtId="0" fontId="0" fillId="2" borderId="1" xfId="0" applyFill="1" applyBorder="1"/>
    <xf numFmtId="14" fontId="0" fillId="2" borderId="1" xfId="0" applyNumberFormat="1" applyFill="1" applyBorder="1"/>
    <xf numFmtId="0" fontId="2" fillId="3" borderId="1" xfId="0" applyFont="1" applyFill="1" applyBorder="1"/>
    <xf numFmtId="0" fontId="2" fillId="2" borderId="1" xfId="0" applyFont="1" applyFill="1" applyBorder="1"/>
    <xf numFmtId="14" fontId="0" fillId="2" borderId="1" xfId="0" applyNumberFormat="1" applyFill="1" applyBorder="1" applyAlignment="1">
      <alignment horizontal="center"/>
    </xf>
    <xf numFmtId="3" fontId="0" fillId="3" borderId="1" xfId="0" applyNumberFormat="1" applyFill="1" applyBorder="1"/>
    <xf numFmtId="3" fontId="0" fillId="2" borderId="1" xfId="0" applyNumberFormat="1" applyFill="1" applyBorder="1"/>
    <xf numFmtId="0" fontId="0" fillId="4" borderId="1" xfId="0" applyFill="1" applyBorder="1"/>
    <xf numFmtId="0" fontId="0" fillId="0" borderId="0" xfId="0" pivotButton="1"/>
    <xf numFmtId="14" fontId="0" fillId="0" borderId="0" xfId="0" applyNumberFormat="1" applyAlignment="1">
      <alignment horizontal="left"/>
    </xf>
    <xf numFmtId="0" fontId="0" fillId="0" borderId="0" xfId="0" applyAlignment="1">
      <alignment horizontal="left"/>
    </xf>
    <xf numFmtId="14" fontId="1" fillId="5" borderId="2" xfId="0" applyNumberFormat="1" applyFont="1" applyFill="1" applyBorder="1" applyAlignment="1">
      <alignment horizontal="left"/>
    </xf>
    <xf numFmtId="0" fontId="1" fillId="5" borderId="2" xfId="0" applyFont="1" applyFill="1" applyBorder="1"/>
    <xf numFmtId="10"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tabe!PivotTable15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548419576045"/>
          <c:y val="0.25462962962962965"/>
          <c:w val="0.75471952179161961"/>
          <c:h val="0.74537037037037035"/>
        </c:manualLayout>
      </c:layout>
      <c:barChart>
        <c:barDir val="bar"/>
        <c:grouping val="clustered"/>
        <c:varyColors val="0"/>
        <c:ser>
          <c:idx val="0"/>
          <c:order val="0"/>
          <c:tx>
            <c:strRef>
              <c:f>'pivot tabe'!$B$49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tabe'!$A$50:$A$53</c:f>
              <c:strCache>
                <c:ptCount val="3"/>
                <c:pt idx="0">
                  <c:v>Curtice Advani</c:v>
                </c:pt>
                <c:pt idx="1">
                  <c:v>Husein Augar</c:v>
                </c:pt>
                <c:pt idx="2">
                  <c:v>Brien Boise</c:v>
                </c:pt>
              </c:strCache>
            </c:strRef>
          </c:cat>
          <c:val>
            <c:numRef>
              <c:f>'pivot tabe'!$B$50:$B$53</c:f>
              <c:numCache>
                <c:formatCode>General</c:formatCode>
                <c:ptCount val="3"/>
                <c:pt idx="0">
                  <c:v>1114</c:v>
                </c:pt>
                <c:pt idx="1">
                  <c:v>937</c:v>
                </c:pt>
                <c:pt idx="2">
                  <c:v>513</c:v>
                </c:pt>
              </c:numCache>
            </c:numRef>
          </c:val>
          <c:extLst>
            <c:ext xmlns:c16="http://schemas.microsoft.com/office/drawing/2014/chart" uri="{C3380CC4-5D6E-409C-BE32-E72D297353CC}">
              <c16:uniqueId val="{00000000-C26F-4AC6-847C-6362E3606E15}"/>
            </c:ext>
          </c:extLst>
        </c:ser>
        <c:dLbls>
          <c:showLegendKey val="0"/>
          <c:showVal val="0"/>
          <c:showCatName val="0"/>
          <c:showSerName val="0"/>
          <c:showPercent val="0"/>
          <c:showBubbleSize val="0"/>
        </c:dLbls>
        <c:gapWidth val="182"/>
        <c:axId val="697133903"/>
        <c:axId val="697137647"/>
      </c:barChart>
      <c:catAx>
        <c:axId val="69713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37647"/>
        <c:crosses val="autoZero"/>
        <c:auto val="1"/>
        <c:lblAlgn val="ctr"/>
        <c:lblOffset val="100"/>
        <c:noMultiLvlLbl val="0"/>
      </c:catAx>
      <c:valAx>
        <c:axId val="69713764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713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tabe!PivotTable14</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tabe'!$A$41:$A$44</c:f>
              <c:strCache>
                <c:ptCount val="3"/>
                <c:pt idx="0">
                  <c:v>Curtice Advani</c:v>
                </c:pt>
                <c:pt idx="1">
                  <c:v>Carla Molina</c:v>
                </c:pt>
                <c:pt idx="2">
                  <c:v>Ram Mahesh</c:v>
                </c:pt>
              </c:strCache>
            </c:strRef>
          </c:cat>
          <c:val>
            <c:numRef>
              <c:f>'pivot tabe'!$B$41:$B$44</c:f>
              <c:numCache>
                <c:formatCode>General</c:formatCode>
                <c:ptCount val="3"/>
                <c:pt idx="0">
                  <c:v>1114</c:v>
                </c:pt>
                <c:pt idx="1">
                  <c:v>1313</c:v>
                </c:pt>
                <c:pt idx="2">
                  <c:v>1576</c:v>
                </c:pt>
              </c:numCache>
            </c:numRef>
          </c:val>
          <c:extLst>
            <c:ext xmlns:c16="http://schemas.microsoft.com/office/drawing/2014/chart" uri="{C3380CC4-5D6E-409C-BE32-E72D297353CC}">
              <c16:uniqueId val="{00000000-1AFA-4F5D-82A4-3BA43205BBBA}"/>
            </c:ext>
          </c:extLst>
        </c:ser>
        <c:dLbls>
          <c:showLegendKey val="0"/>
          <c:showVal val="0"/>
          <c:showCatName val="0"/>
          <c:showSerName val="0"/>
          <c:showPercent val="0"/>
          <c:showBubbleSize val="0"/>
        </c:dLbls>
        <c:gapWidth val="182"/>
        <c:axId val="307705071"/>
        <c:axId val="693492463"/>
      </c:barChart>
      <c:catAx>
        <c:axId val="30770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92463"/>
        <c:crosses val="autoZero"/>
        <c:auto val="1"/>
        <c:lblAlgn val="ctr"/>
        <c:lblOffset val="100"/>
        <c:noMultiLvlLbl val="0"/>
      </c:catAx>
      <c:valAx>
        <c:axId val="6934924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0770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tabe!PivotTable15</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548419576045"/>
          <c:y val="0.25462962962962965"/>
          <c:w val="0.75471952179161961"/>
          <c:h val="0.74537037037037035"/>
        </c:manualLayout>
      </c:layout>
      <c:barChart>
        <c:barDir val="bar"/>
        <c:grouping val="clustered"/>
        <c:varyColors val="0"/>
        <c:ser>
          <c:idx val="0"/>
          <c:order val="0"/>
          <c:tx>
            <c:strRef>
              <c:f>'pivot tabe'!$B$49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tabe'!$A$50:$A$53</c:f>
              <c:strCache>
                <c:ptCount val="3"/>
                <c:pt idx="0">
                  <c:v>Curtice Advani</c:v>
                </c:pt>
                <c:pt idx="1">
                  <c:v>Husein Augar</c:v>
                </c:pt>
                <c:pt idx="2">
                  <c:v>Brien Boise</c:v>
                </c:pt>
              </c:strCache>
            </c:strRef>
          </c:cat>
          <c:val>
            <c:numRef>
              <c:f>'pivot tabe'!$B$50:$B$53</c:f>
              <c:numCache>
                <c:formatCode>General</c:formatCode>
                <c:ptCount val="3"/>
                <c:pt idx="0">
                  <c:v>1114</c:v>
                </c:pt>
                <c:pt idx="1">
                  <c:v>937</c:v>
                </c:pt>
                <c:pt idx="2">
                  <c:v>513</c:v>
                </c:pt>
              </c:numCache>
            </c:numRef>
          </c:val>
          <c:extLst>
            <c:ext xmlns:c16="http://schemas.microsoft.com/office/drawing/2014/chart" uri="{C3380CC4-5D6E-409C-BE32-E72D297353CC}">
              <c16:uniqueId val="{00000000-7F31-4CCE-89BC-08D6901F1ECA}"/>
            </c:ext>
          </c:extLst>
        </c:ser>
        <c:dLbls>
          <c:showLegendKey val="0"/>
          <c:showVal val="0"/>
          <c:showCatName val="0"/>
          <c:showSerName val="0"/>
          <c:showPercent val="0"/>
          <c:showBubbleSize val="0"/>
        </c:dLbls>
        <c:gapWidth val="182"/>
        <c:axId val="697133903"/>
        <c:axId val="697137647"/>
      </c:barChart>
      <c:catAx>
        <c:axId val="69713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37647"/>
        <c:crosses val="autoZero"/>
        <c:auto val="1"/>
        <c:lblAlgn val="ctr"/>
        <c:lblOffset val="100"/>
        <c:noMultiLvlLbl val="0"/>
      </c:catAx>
      <c:valAx>
        <c:axId val="69713764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713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tabe!PivotTable14</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tabe'!$A$41:$A$44</c:f>
              <c:strCache>
                <c:ptCount val="3"/>
                <c:pt idx="0">
                  <c:v>Curtice Advani</c:v>
                </c:pt>
                <c:pt idx="1">
                  <c:v>Carla Molina</c:v>
                </c:pt>
                <c:pt idx="2">
                  <c:v>Ram Mahesh</c:v>
                </c:pt>
              </c:strCache>
            </c:strRef>
          </c:cat>
          <c:val>
            <c:numRef>
              <c:f>'pivot tabe'!$B$41:$B$44</c:f>
              <c:numCache>
                <c:formatCode>General</c:formatCode>
                <c:ptCount val="3"/>
                <c:pt idx="0">
                  <c:v>1114</c:v>
                </c:pt>
                <c:pt idx="1">
                  <c:v>1313</c:v>
                </c:pt>
                <c:pt idx="2">
                  <c:v>1576</c:v>
                </c:pt>
              </c:numCache>
            </c:numRef>
          </c:val>
          <c:extLst>
            <c:ext xmlns:c16="http://schemas.microsoft.com/office/drawing/2014/chart" uri="{C3380CC4-5D6E-409C-BE32-E72D297353CC}">
              <c16:uniqueId val="{00000000-B63E-4CC4-A0BB-183178BB6D07}"/>
            </c:ext>
          </c:extLst>
        </c:ser>
        <c:dLbls>
          <c:showLegendKey val="0"/>
          <c:showVal val="0"/>
          <c:showCatName val="0"/>
          <c:showSerName val="0"/>
          <c:showPercent val="0"/>
          <c:showBubbleSize val="0"/>
        </c:dLbls>
        <c:gapWidth val="182"/>
        <c:axId val="307705071"/>
        <c:axId val="693492463"/>
      </c:barChart>
      <c:catAx>
        <c:axId val="30770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92463"/>
        <c:crosses val="autoZero"/>
        <c:auto val="1"/>
        <c:lblAlgn val="ctr"/>
        <c:lblOffset val="100"/>
        <c:noMultiLvlLbl val="0"/>
      </c:catAx>
      <c:valAx>
        <c:axId val="6934924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0770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tabe!PivotTable16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tabe'!$A$59:$A$64</c:f>
              <c:strCache>
                <c:ptCount val="5"/>
                <c:pt idx="0">
                  <c:v>Brien Boise</c:v>
                </c:pt>
                <c:pt idx="1">
                  <c:v>Husein Augar</c:v>
                </c:pt>
                <c:pt idx="2">
                  <c:v>Carla Molina</c:v>
                </c:pt>
                <c:pt idx="3">
                  <c:v>Curtice Advani</c:v>
                </c:pt>
                <c:pt idx="4">
                  <c:v>Ram Mahesh</c:v>
                </c:pt>
              </c:strCache>
            </c:strRef>
          </c:cat>
          <c:val>
            <c:numRef>
              <c:f>'pivot tabe'!$B$59:$B$64</c:f>
              <c:numCache>
                <c:formatCode>General</c:formatCode>
                <c:ptCount val="5"/>
                <c:pt idx="0">
                  <c:v>2432600</c:v>
                </c:pt>
                <c:pt idx="1">
                  <c:v>2898750</c:v>
                </c:pt>
                <c:pt idx="2">
                  <c:v>3386400</c:v>
                </c:pt>
                <c:pt idx="3">
                  <c:v>3973600</c:v>
                </c:pt>
                <c:pt idx="4">
                  <c:v>4484600</c:v>
                </c:pt>
              </c:numCache>
            </c:numRef>
          </c:val>
          <c:extLst>
            <c:ext xmlns:c16="http://schemas.microsoft.com/office/drawing/2014/chart" uri="{C3380CC4-5D6E-409C-BE32-E72D297353CC}">
              <c16:uniqueId val="{00000000-F008-4EDE-BF08-67AC2A95D4C2}"/>
            </c:ext>
          </c:extLst>
        </c:ser>
        <c:dLbls>
          <c:showLegendKey val="0"/>
          <c:showVal val="0"/>
          <c:showCatName val="0"/>
          <c:showSerName val="0"/>
          <c:showPercent val="0"/>
          <c:showBubbleSize val="0"/>
        </c:dLbls>
        <c:gapWidth val="219"/>
        <c:overlap val="-27"/>
        <c:axId val="528931935"/>
        <c:axId val="528927775"/>
      </c:barChart>
      <c:catAx>
        <c:axId val="5289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27775"/>
        <c:crosses val="autoZero"/>
        <c:auto val="1"/>
        <c:lblAlgn val="ctr"/>
        <c:lblOffset val="100"/>
        <c:noMultiLvlLbl val="0"/>
      </c:catAx>
      <c:valAx>
        <c:axId val="5289277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2893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region!PivotTable11</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region'!$B$41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region'!$A$42:$A$48</c:f>
              <c:strCache>
                <c:ptCount val="6"/>
                <c:pt idx="0">
                  <c:v>Mouse</c:v>
                </c:pt>
                <c:pt idx="1">
                  <c:v>Scanner</c:v>
                </c:pt>
                <c:pt idx="2">
                  <c:v>Speaker</c:v>
                </c:pt>
                <c:pt idx="3">
                  <c:v>Printer</c:v>
                </c:pt>
                <c:pt idx="4">
                  <c:v>Keyboard</c:v>
                </c:pt>
                <c:pt idx="5">
                  <c:v>Monitor</c:v>
                </c:pt>
              </c:strCache>
            </c:strRef>
          </c:cat>
          <c:val>
            <c:numRef>
              <c:f>'sales by region'!$B$42:$B$48</c:f>
              <c:numCache>
                <c:formatCode>General</c:formatCode>
                <c:ptCount val="6"/>
                <c:pt idx="0">
                  <c:v>521</c:v>
                </c:pt>
                <c:pt idx="1">
                  <c:v>603</c:v>
                </c:pt>
                <c:pt idx="2">
                  <c:v>975</c:v>
                </c:pt>
                <c:pt idx="3">
                  <c:v>1023</c:v>
                </c:pt>
                <c:pt idx="4">
                  <c:v>1078</c:v>
                </c:pt>
                <c:pt idx="5">
                  <c:v>1253</c:v>
                </c:pt>
              </c:numCache>
            </c:numRef>
          </c:val>
          <c:extLst>
            <c:ext xmlns:c16="http://schemas.microsoft.com/office/drawing/2014/chart" uri="{C3380CC4-5D6E-409C-BE32-E72D297353CC}">
              <c16:uniqueId val="{00000000-BE0C-448E-B2CD-4D50DC72FB7C}"/>
            </c:ext>
          </c:extLst>
        </c:ser>
        <c:dLbls>
          <c:showLegendKey val="0"/>
          <c:showVal val="0"/>
          <c:showCatName val="0"/>
          <c:showSerName val="0"/>
          <c:showPercent val="0"/>
          <c:showBubbleSize val="0"/>
        </c:dLbls>
        <c:gapWidth val="150"/>
        <c:axId val="530215839"/>
        <c:axId val="530217087"/>
      </c:barChart>
      <c:valAx>
        <c:axId val="530217087"/>
        <c:scaling>
          <c:orientation val="minMax"/>
        </c:scaling>
        <c:delete val="1"/>
        <c:axPos val="b"/>
        <c:numFmt formatCode="General" sourceLinked="1"/>
        <c:majorTickMark val="out"/>
        <c:minorTickMark val="none"/>
        <c:tickLblPos val="nextTo"/>
        <c:crossAx val="530215839"/>
        <c:crosses val="autoZero"/>
        <c:crossBetween val="between"/>
      </c:valAx>
      <c:catAx>
        <c:axId val="530215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17087"/>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region!PivotTable12</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region'!$A$56:$A$62</c:f>
              <c:strCache>
                <c:ptCount val="6"/>
                <c:pt idx="0">
                  <c:v>Monitor</c:v>
                </c:pt>
                <c:pt idx="1">
                  <c:v>Keyboard</c:v>
                </c:pt>
                <c:pt idx="2">
                  <c:v>Printer</c:v>
                </c:pt>
                <c:pt idx="3">
                  <c:v>Speaker</c:v>
                </c:pt>
                <c:pt idx="4">
                  <c:v>Scanner</c:v>
                </c:pt>
                <c:pt idx="5">
                  <c:v>Mouse</c:v>
                </c:pt>
              </c:strCache>
            </c:strRef>
          </c:cat>
          <c:val>
            <c:numRef>
              <c:f>'sales by region'!$B$56:$B$62</c:f>
              <c:numCache>
                <c:formatCode>General</c:formatCode>
                <c:ptCount val="6"/>
                <c:pt idx="0">
                  <c:v>1253</c:v>
                </c:pt>
                <c:pt idx="1">
                  <c:v>1078</c:v>
                </c:pt>
                <c:pt idx="2">
                  <c:v>1023</c:v>
                </c:pt>
                <c:pt idx="3">
                  <c:v>975</c:v>
                </c:pt>
                <c:pt idx="4">
                  <c:v>603</c:v>
                </c:pt>
                <c:pt idx="5">
                  <c:v>521</c:v>
                </c:pt>
              </c:numCache>
            </c:numRef>
          </c:val>
          <c:extLst>
            <c:ext xmlns:c16="http://schemas.microsoft.com/office/drawing/2014/chart" uri="{C3380CC4-5D6E-409C-BE32-E72D297353CC}">
              <c16:uniqueId val="{00000000-07A0-460A-97CF-55018AD5444A}"/>
            </c:ext>
          </c:extLst>
        </c:ser>
        <c:dLbls>
          <c:showLegendKey val="0"/>
          <c:showVal val="0"/>
          <c:showCatName val="0"/>
          <c:showSerName val="0"/>
          <c:showPercent val="0"/>
          <c:showBubbleSize val="0"/>
        </c:dLbls>
        <c:gapWidth val="182"/>
        <c:axId val="201757663"/>
        <c:axId val="201757247"/>
      </c:barChart>
      <c:catAx>
        <c:axId val="20175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7247"/>
        <c:crosses val="autoZero"/>
        <c:auto val="1"/>
        <c:lblAlgn val="ctr"/>
        <c:lblOffset val="100"/>
        <c:noMultiLvlLbl val="0"/>
      </c:catAx>
      <c:valAx>
        <c:axId val="201757247"/>
        <c:scaling>
          <c:orientation val="minMax"/>
        </c:scaling>
        <c:delete val="1"/>
        <c:axPos val="b"/>
        <c:numFmt formatCode="General" sourceLinked="1"/>
        <c:majorTickMark val="none"/>
        <c:minorTickMark val="none"/>
        <c:tickLblPos val="nextTo"/>
        <c:crossAx val="20175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region!PivotTable13</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348099517318796E-2"/>
          <c:y val="0.13695762691825683"/>
          <c:w val="0.93510324483775809"/>
          <c:h val="0.72331498611217282"/>
        </c:manualLayout>
      </c:layout>
      <c:barChart>
        <c:barDir val="col"/>
        <c:grouping val="clustered"/>
        <c:varyColors val="0"/>
        <c:ser>
          <c:idx val="0"/>
          <c:order val="0"/>
          <c:tx>
            <c:strRef>
              <c:f>'sales by region'!$B$68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region'!$A$69:$A$75</c:f>
              <c:strCache>
                <c:ptCount val="6"/>
                <c:pt idx="0">
                  <c:v>Keyboard</c:v>
                </c:pt>
                <c:pt idx="1">
                  <c:v>Monitor</c:v>
                </c:pt>
                <c:pt idx="2">
                  <c:v>Mouse</c:v>
                </c:pt>
                <c:pt idx="3">
                  <c:v>Printer</c:v>
                </c:pt>
                <c:pt idx="4">
                  <c:v>Scanner</c:v>
                </c:pt>
                <c:pt idx="5">
                  <c:v>Speaker</c:v>
                </c:pt>
              </c:strCache>
            </c:strRef>
          </c:cat>
          <c:val>
            <c:numRef>
              <c:f>'sales by region'!$B$69:$B$75</c:f>
              <c:numCache>
                <c:formatCode>General</c:formatCode>
                <c:ptCount val="6"/>
                <c:pt idx="0">
                  <c:v>1078</c:v>
                </c:pt>
                <c:pt idx="1">
                  <c:v>1253</c:v>
                </c:pt>
                <c:pt idx="2">
                  <c:v>521</c:v>
                </c:pt>
                <c:pt idx="3">
                  <c:v>1023</c:v>
                </c:pt>
                <c:pt idx="4">
                  <c:v>603</c:v>
                </c:pt>
                <c:pt idx="5">
                  <c:v>975</c:v>
                </c:pt>
              </c:numCache>
            </c:numRef>
          </c:val>
          <c:extLst>
            <c:ext xmlns:c16="http://schemas.microsoft.com/office/drawing/2014/chart" uri="{C3380CC4-5D6E-409C-BE32-E72D297353CC}">
              <c16:uniqueId val="{00000000-3564-4445-8E75-4F37E3DA1924}"/>
            </c:ext>
          </c:extLst>
        </c:ser>
        <c:dLbls>
          <c:showLegendKey val="0"/>
          <c:showVal val="0"/>
          <c:showCatName val="0"/>
          <c:showSerName val="0"/>
          <c:showPercent val="0"/>
          <c:showBubbleSize val="0"/>
        </c:dLbls>
        <c:gapWidth val="219"/>
        <c:overlap val="-27"/>
        <c:axId val="697131407"/>
        <c:axId val="697131823"/>
      </c:barChart>
      <c:catAx>
        <c:axId val="69713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31823"/>
        <c:crosses val="autoZero"/>
        <c:auto val="1"/>
        <c:lblAlgn val="ctr"/>
        <c:lblOffset val="100"/>
        <c:noMultiLvlLbl val="0"/>
      </c:catAx>
      <c:valAx>
        <c:axId val="697131823"/>
        <c:scaling>
          <c:orientation val="minMax"/>
        </c:scaling>
        <c:delete val="1"/>
        <c:axPos val="l"/>
        <c:numFmt formatCode="General" sourceLinked="1"/>
        <c:majorTickMark val="none"/>
        <c:minorTickMark val="none"/>
        <c:tickLblPos val="nextTo"/>
        <c:crossAx val="6971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369004782623967E-3"/>
          <c:y val="9.6806329865701101E-3"/>
          <c:w val="0.93888888888888888"/>
          <c:h val="0.8416746864975212"/>
        </c:manualLayout>
      </c:layout>
      <c:barChart>
        <c:barDir val="col"/>
        <c:grouping val="clustered"/>
        <c:varyColors val="0"/>
        <c:ser>
          <c:idx val="0"/>
          <c:order val="0"/>
          <c:tx>
            <c:strRef>
              <c:f>'sales by region'!$B$4</c:f>
              <c:strCache>
                <c:ptCount val="1"/>
                <c:pt idx="0">
                  <c:v>Total</c:v>
                </c:pt>
              </c:strCache>
            </c:strRef>
          </c:tx>
          <c:spPr>
            <a:solidFill>
              <a:schemeClr val="accent1"/>
            </a:solidFill>
            <a:ln>
              <a:noFill/>
            </a:ln>
            <a:effectLst/>
          </c:spPr>
          <c:invertIfNegative val="0"/>
          <c:cat>
            <c:strRef>
              <c:f>'sales by region'!$A$5:$A$11</c:f>
              <c:strCache>
                <c:ptCount val="6"/>
                <c:pt idx="0">
                  <c:v>Keyboard</c:v>
                </c:pt>
                <c:pt idx="1">
                  <c:v>Monitor</c:v>
                </c:pt>
                <c:pt idx="2">
                  <c:v>Mouse</c:v>
                </c:pt>
                <c:pt idx="3">
                  <c:v>Printer</c:v>
                </c:pt>
                <c:pt idx="4">
                  <c:v>Scanner</c:v>
                </c:pt>
                <c:pt idx="5">
                  <c:v>Speaker</c:v>
                </c:pt>
              </c:strCache>
            </c:strRef>
          </c:cat>
          <c:val>
            <c:numRef>
              <c:f>'sales by region'!$B$5:$B$11</c:f>
              <c:numCache>
                <c:formatCode>General</c:formatCode>
                <c:ptCount val="6"/>
                <c:pt idx="0">
                  <c:v>1293600</c:v>
                </c:pt>
                <c:pt idx="1">
                  <c:v>4636100</c:v>
                </c:pt>
                <c:pt idx="2">
                  <c:v>234450</c:v>
                </c:pt>
                <c:pt idx="3">
                  <c:v>5012700</c:v>
                </c:pt>
                <c:pt idx="4">
                  <c:v>4341600</c:v>
                </c:pt>
                <c:pt idx="5">
                  <c:v>1657500</c:v>
                </c:pt>
              </c:numCache>
            </c:numRef>
          </c:val>
          <c:extLst>
            <c:ext xmlns:c16="http://schemas.microsoft.com/office/drawing/2014/chart" uri="{C3380CC4-5D6E-409C-BE32-E72D297353CC}">
              <c16:uniqueId val="{00000003-DB38-409D-B5C6-6E15264CBD91}"/>
            </c:ext>
          </c:extLst>
        </c:ser>
        <c:dLbls>
          <c:showLegendKey val="0"/>
          <c:showVal val="0"/>
          <c:showCatName val="0"/>
          <c:showSerName val="0"/>
          <c:showPercent val="0"/>
          <c:showBubbleSize val="0"/>
        </c:dLbls>
        <c:gapWidth val="219"/>
        <c:overlap val="-27"/>
        <c:axId val="532373727"/>
        <c:axId val="532375807"/>
      </c:barChart>
      <c:catAx>
        <c:axId val="53237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75807"/>
        <c:crosses val="autoZero"/>
        <c:auto val="1"/>
        <c:lblAlgn val="ctr"/>
        <c:lblOffset val="100"/>
        <c:noMultiLvlLbl val="0"/>
      </c:catAx>
      <c:valAx>
        <c:axId val="532375807"/>
        <c:scaling>
          <c:orientation val="minMax"/>
        </c:scaling>
        <c:delete val="1"/>
        <c:axPos val="l"/>
        <c:numFmt formatCode="General" sourceLinked="1"/>
        <c:majorTickMark val="none"/>
        <c:minorTickMark val="none"/>
        <c:tickLblPos val="nextTo"/>
        <c:crossAx val="53237372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region!PivotTable3</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4009462254"/>
          <c:y val="5.0925925925925923E-2"/>
          <c:w val="0.83953018372703414"/>
          <c:h val="0.8416746864975212"/>
        </c:manualLayout>
      </c:layout>
      <c:lineChart>
        <c:grouping val="stacked"/>
        <c:varyColors val="0"/>
        <c:ser>
          <c:idx val="0"/>
          <c:order val="0"/>
          <c:tx>
            <c:strRef>
              <c:f>'sales by region'!$B$4</c:f>
              <c:strCache>
                <c:ptCount val="1"/>
                <c:pt idx="0">
                  <c:v>Total</c:v>
                </c:pt>
              </c:strCache>
            </c:strRef>
          </c:tx>
          <c:spPr>
            <a:ln w="28575" cap="rnd">
              <a:solidFill>
                <a:schemeClr val="accent1"/>
              </a:solidFill>
              <a:round/>
            </a:ln>
            <a:effectLst/>
          </c:spPr>
          <c:marker>
            <c:symbol val="none"/>
          </c:marker>
          <c:cat>
            <c:strRef>
              <c:f>'sales by region'!$A$5:$A$11</c:f>
              <c:strCache>
                <c:ptCount val="6"/>
                <c:pt idx="0">
                  <c:v>Keyboard</c:v>
                </c:pt>
                <c:pt idx="1">
                  <c:v>Monitor</c:v>
                </c:pt>
                <c:pt idx="2">
                  <c:v>Mouse</c:v>
                </c:pt>
                <c:pt idx="3">
                  <c:v>Printer</c:v>
                </c:pt>
                <c:pt idx="4">
                  <c:v>Scanner</c:v>
                </c:pt>
                <c:pt idx="5">
                  <c:v>Speaker</c:v>
                </c:pt>
              </c:strCache>
            </c:strRef>
          </c:cat>
          <c:val>
            <c:numRef>
              <c:f>'sales by region'!$B$5:$B$11</c:f>
              <c:numCache>
                <c:formatCode>General</c:formatCode>
                <c:ptCount val="6"/>
                <c:pt idx="0">
                  <c:v>1293600</c:v>
                </c:pt>
                <c:pt idx="1">
                  <c:v>4636100</c:v>
                </c:pt>
                <c:pt idx="2">
                  <c:v>234450</c:v>
                </c:pt>
                <c:pt idx="3">
                  <c:v>5012700</c:v>
                </c:pt>
                <c:pt idx="4">
                  <c:v>4341600</c:v>
                </c:pt>
                <c:pt idx="5">
                  <c:v>1657500</c:v>
                </c:pt>
              </c:numCache>
            </c:numRef>
          </c:val>
          <c:smooth val="0"/>
          <c:extLst>
            <c:ext xmlns:c16="http://schemas.microsoft.com/office/drawing/2014/chart" uri="{C3380CC4-5D6E-409C-BE32-E72D297353CC}">
              <c16:uniqueId val="{00000001-B92E-49DD-BB61-AC8AE32AEA14}"/>
            </c:ext>
          </c:extLst>
        </c:ser>
        <c:dLbls>
          <c:showLegendKey val="0"/>
          <c:showVal val="0"/>
          <c:showCatName val="0"/>
          <c:showSerName val="0"/>
          <c:showPercent val="0"/>
          <c:showBubbleSize val="0"/>
        </c:dLbls>
        <c:smooth val="0"/>
        <c:axId val="530217919"/>
        <c:axId val="530218751"/>
      </c:lineChart>
      <c:catAx>
        <c:axId val="53021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18751"/>
        <c:crosses val="autoZero"/>
        <c:auto val="1"/>
        <c:lblAlgn val="ctr"/>
        <c:lblOffset val="100"/>
        <c:noMultiLvlLbl val="0"/>
      </c:catAx>
      <c:valAx>
        <c:axId val="530218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179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02766980275845"/>
          <c:y val="0.21252796420581654"/>
          <c:w val="0.8132184186387108"/>
          <c:h val="0.75391498881431762"/>
        </c:manualLayout>
      </c:layout>
      <c:barChart>
        <c:barDir val="bar"/>
        <c:grouping val="clustered"/>
        <c:varyColors val="0"/>
        <c:ser>
          <c:idx val="0"/>
          <c:order val="0"/>
          <c:tx>
            <c:strRef>
              <c:f>'sales by region'!$B$20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region'!$A$21:$A$27</c:f>
              <c:strCache>
                <c:ptCount val="6"/>
                <c:pt idx="0">
                  <c:v>Keyboard</c:v>
                </c:pt>
                <c:pt idx="1">
                  <c:v>Monitor</c:v>
                </c:pt>
                <c:pt idx="2">
                  <c:v>Mouse</c:v>
                </c:pt>
                <c:pt idx="3">
                  <c:v>Printer</c:v>
                </c:pt>
                <c:pt idx="4">
                  <c:v>Scanner</c:v>
                </c:pt>
                <c:pt idx="5">
                  <c:v>Speaker</c:v>
                </c:pt>
              </c:strCache>
            </c:strRef>
          </c:cat>
          <c:val>
            <c:numRef>
              <c:f>'sales by region'!$B$21:$B$27</c:f>
              <c:numCache>
                <c:formatCode>0.00%</c:formatCode>
                <c:ptCount val="6"/>
                <c:pt idx="0">
                  <c:v>7.5314611418873481E-2</c:v>
                </c:pt>
                <c:pt idx="1">
                  <c:v>0.26991811224415535</c:v>
                </c:pt>
                <c:pt idx="2">
                  <c:v>1.364990000553099E-2</c:v>
                </c:pt>
                <c:pt idx="3">
                  <c:v>0.29184411924813475</c:v>
                </c:pt>
                <c:pt idx="4">
                  <c:v>0.25277204463217462</c:v>
                </c:pt>
                <c:pt idx="5">
                  <c:v>9.6501212451130802E-2</c:v>
                </c:pt>
              </c:numCache>
            </c:numRef>
          </c:val>
          <c:extLst>
            <c:ext xmlns:c16="http://schemas.microsoft.com/office/drawing/2014/chart" uri="{C3380CC4-5D6E-409C-BE32-E72D297353CC}">
              <c16:uniqueId val="{00000000-F48B-4ABE-B333-7EE74B073953}"/>
            </c:ext>
          </c:extLst>
        </c:ser>
        <c:dLbls>
          <c:showLegendKey val="0"/>
          <c:showVal val="0"/>
          <c:showCatName val="0"/>
          <c:showSerName val="0"/>
          <c:showPercent val="0"/>
          <c:showBubbleSize val="0"/>
        </c:dLbls>
        <c:gapWidth val="182"/>
        <c:axId val="689282783"/>
        <c:axId val="689284031"/>
      </c:barChart>
      <c:catAx>
        <c:axId val="68928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284031"/>
        <c:crosses val="autoZero"/>
        <c:auto val="1"/>
        <c:lblAlgn val="ctr"/>
        <c:lblOffset val="100"/>
        <c:noMultiLvlLbl val="0"/>
      </c:catAx>
      <c:valAx>
        <c:axId val="689284031"/>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8928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8899549807929"/>
          <c:y val="0.21696252465483234"/>
          <c:w val="0.83241100450192074"/>
          <c:h val="0.78303747534516766"/>
        </c:manualLayout>
      </c:layout>
      <c:barChart>
        <c:barDir val="bar"/>
        <c:grouping val="clustered"/>
        <c:varyColors val="0"/>
        <c:ser>
          <c:idx val="0"/>
          <c:order val="0"/>
          <c:tx>
            <c:strRef>
              <c:f>'pivot tabe'!$B$22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tabe'!$A$23:$A$29</c:f>
              <c:strCache>
                <c:ptCount val="6"/>
                <c:pt idx="0">
                  <c:v>Keyboard</c:v>
                </c:pt>
                <c:pt idx="1">
                  <c:v>Monitor</c:v>
                </c:pt>
                <c:pt idx="2">
                  <c:v>Mouse</c:v>
                </c:pt>
                <c:pt idx="3">
                  <c:v>Printer</c:v>
                </c:pt>
                <c:pt idx="4">
                  <c:v>Scanner</c:v>
                </c:pt>
                <c:pt idx="5">
                  <c:v>Speaker</c:v>
                </c:pt>
              </c:strCache>
            </c:strRef>
          </c:cat>
          <c:val>
            <c:numRef>
              <c:f>'pivot tabe'!$B$23:$B$29</c:f>
              <c:numCache>
                <c:formatCode>0.00%</c:formatCode>
                <c:ptCount val="6"/>
                <c:pt idx="0">
                  <c:v>7.5314611418873481E-2</c:v>
                </c:pt>
                <c:pt idx="1">
                  <c:v>0.26991811224415535</c:v>
                </c:pt>
                <c:pt idx="2">
                  <c:v>1.364990000553099E-2</c:v>
                </c:pt>
                <c:pt idx="3">
                  <c:v>0.29184411924813475</c:v>
                </c:pt>
                <c:pt idx="4">
                  <c:v>0.25277204463217462</c:v>
                </c:pt>
                <c:pt idx="5">
                  <c:v>9.6501212451130802E-2</c:v>
                </c:pt>
              </c:numCache>
            </c:numRef>
          </c:val>
          <c:extLst>
            <c:ext xmlns:c16="http://schemas.microsoft.com/office/drawing/2014/chart" uri="{C3380CC4-5D6E-409C-BE32-E72D297353CC}">
              <c16:uniqueId val="{00000000-F3B0-47D4-886F-A2484B626742}"/>
            </c:ext>
          </c:extLst>
        </c:ser>
        <c:dLbls>
          <c:showLegendKey val="0"/>
          <c:showVal val="0"/>
          <c:showCatName val="0"/>
          <c:showSerName val="0"/>
          <c:showPercent val="0"/>
          <c:showBubbleSize val="0"/>
        </c:dLbls>
        <c:gapWidth val="182"/>
        <c:axId val="402545855"/>
        <c:axId val="402538783"/>
      </c:barChart>
      <c:catAx>
        <c:axId val="40254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538783"/>
        <c:crosses val="autoZero"/>
        <c:auto val="1"/>
        <c:lblAlgn val="ctr"/>
        <c:lblOffset val="100"/>
        <c:noMultiLvlLbl val="0"/>
      </c:catAx>
      <c:valAx>
        <c:axId val="402538783"/>
        <c:scaling>
          <c:orientation val="minMax"/>
        </c:scaling>
        <c:delete val="1"/>
        <c:axPos val="b"/>
        <c:numFmt formatCode="0.00%" sourceLinked="1"/>
        <c:majorTickMark val="none"/>
        <c:minorTickMark val="none"/>
        <c:tickLblPos val="nextTo"/>
        <c:crossAx val="4025458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tabe!PivotTable14</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tabe'!$A$41:$A$44</c:f>
              <c:strCache>
                <c:ptCount val="3"/>
                <c:pt idx="0">
                  <c:v>Curtice Advani</c:v>
                </c:pt>
                <c:pt idx="1">
                  <c:v>Carla Molina</c:v>
                </c:pt>
                <c:pt idx="2">
                  <c:v>Ram Mahesh</c:v>
                </c:pt>
              </c:strCache>
            </c:strRef>
          </c:cat>
          <c:val>
            <c:numRef>
              <c:f>'pivot tabe'!$B$41:$B$44</c:f>
              <c:numCache>
                <c:formatCode>General</c:formatCode>
                <c:ptCount val="3"/>
                <c:pt idx="0">
                  <c:v>1114</c:v>
                </c:pt>
                <c:pt idx="1">
                  <c:v>1313</c:v>
                </c:pt>
                <c:pt idx="2">
                  <c:v>1576</c:v>
                </c:pt>
              </c:numCache>
            </c:numRef>
          </c:val>
          <c:extLst>
            <c:ext xmlns:c16="http://schemas.microsoft.com/office/drawing/2014/chart" uri="{C3380CC4-5D6E-409C-BE32-E72D297353CC}">
              <c16:uniqueId val="{00000000-80FE-4C35-96B8-4474B86146EB}"/>
            </c:ext>
          </c:extLst>
        </c:ser>
        <c:dLbls>
          <c:showLegendKey val="0"/>
          <c:showVal val="0"/>
          <c:showCatName val="0"/>
          <c:showSerName val="0"/>
          <c:showPercent val="0"/>
          <c:showBubbleSize val="0"/>
        </c:dLbls>
        <c:gapWidth val="182"/>
        <c:axId val="307705071"/>
        <c:axId val="693492463"/>
      </c:barChart>
      <c:catAx>
        <c:axId val="30770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92463"/>
        <c:crosses val="autoZero"/>
        <c:auto val="1"/>
        <c:lblAlgn val="ctr"/>
        <c:lblOffset val="100"/>
        <c:noMultiLvlLbl val="0"/>
      </c:catAx>
      <c:valAx>
        <c:axId val="6934924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0770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tabe!PivotTable15</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tabe'!$A$50:$A$53</c:f>
              <c:strCache>
                <c:ptCount val="3"/>
                <c:pt idx="0">
                  <c:v>Curtice Advani</c:v>
                </c:pt>
                <c:pt idx="1">
                  <c:v>Husein Augar</c:v>
                </c:pt>
                <c:pt idx="2">
                  <c:v>Brien Boise</c:v>
                </c:pt>
              </c:strCache>
            </c:strRef>
          </c:cat>
          <c:val>
            <c:numRef>
              <c:f>'pivot tabe'!$B$50:$B$53</c:f>
              <c:numCache>
                <c:formatCode>General</c:formatCode>
                <c:ptCount val="3"/>
                <c:pt idx="0">
                  <c:v>1114</c:v>
                </c:pt>
                <c:pt idx="1">
                  <c:v>937</c:v>
                </c:pt>
                <c:pt idx="2">
                  <c:v>513</c:v>
                </c:pt>
              </c:numCache>
            </c:numRef>
          </c:val>
          <c:extLst>
            <c:ext xmlns:c16="http://schemas.microsoft.com/office/drawing/2014/chart" uri="{C3380CC4-5D6E-409C-BE32-E72D297353CC}">
              <c16:uniqueId val="{00000000-C33B-467E-BF88-2A77BE6607A6}"/>
            </c:ext>
          </c:extLst>
        </c:ser>
        <c:dLbls>
          <c:showLegendKey val="0"/>
          <c:showVal val="0"/>
          <c:showCatName val="0"/>
          <c:showSerName val="0"/>
          <c:showPercent val="0"/>
          <c:showBubbleSize val="0"/>
        </c:dLbls>
        <c:gapWidth val="182"/>
        <c:axId val="697133903"/>
        <c:axId val="697137647"/>
      </c:barChart>
      <c:catAx>
        <c:axId val="69713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37647"/>
        <c:crosses val="autoZero"/>
        <c:auto val="1"/>
        <c:lblAlgn val="ctr"/>
        <c:lblOffset val="100"/>
        <c:noMultiLvlLbl val="0"/>
      </c:catAx>
      <c:valAx>
        <c:axId val="69713764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713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board.xlsx]pivot tabe!PivotTable16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tabe'!$A$59:$A$64</c:f>
              <c:strCache>
                <c:ptCount val="5"/>
                <c:pt idx="0">
                  <c:v>Brien Boise</c:v>
                </c:pt>
                <c:pt idx="1">
                  <c:v>Husein Augar</c:v>
                </c:pt>
                <c:pt idx="2">
                  <c:v>Carla Molina</c:v>
                </c:pt>
                <c:pt idx="3">
                  <c:v>Curtice Advani</c:v>
                </c:pt>
                <c:pt idx="4">
                  <c:v>Ram Mahesh</c:v>
                </c:pt>
              </c:strCache>
            </c:strRef>
          </c:cat>
          <c:val>
            <c:numRef>
              <c:f>'pivot tabe'!$B$59:$B$64</c:f>
              <c:numCache>
                <c:formatCode>General</c:formatCode>
                <c:ptCount val="5"/>
                <c:pt idx="0">
                  <c:v>2432600</c:v>
                </c:pt>
                <c:pt idx="1">
                  <c:v>2898750</c:v>
                </c:pt>
                <c:pt idx="2">
                  <c:v>3386400</c:v>
                </c:pt>
                <c:pt idx="3">
                  <c:v>3973600</c:v>
                </c:pt>
                <c:pt idx="4">
                  <c:v>4484600</c:v>
                </c:pt>
              </c:numCache>
            </c:numRef>
          </c:val>
          <c:extLst>
            <c:ext xmlns:c16="http://schemas.microsoft.com/office/drawing/2014/chart" uri="{C3380CC4-5D6E-409C-BE32-E72D297353CC}">
              <c16:uniqueId val="{00000000-3030-48DB-96A9-5A8688A40A77}"/>
            </c:ext>
          </c:extLst>
        </c:ser>
        <c:dLbls>
          <c:showLegendKey val="0"/>
          <c:showVal val="0"/>
          <c:showCatName val="0"/>
          <c:showSerName val="0"/>
          <c:showPercent val="0"/>
          <c:showBubbleSize val="0"/>
        </c:dLbls>
        <c:gapWidth val="219"/>
        <c:overlap val="-27"/>
        <c:axId val="528931935"/>
        <c:axId val="528927775"/>
      </c:barChart>
      <c:catAx>
        <c:axId val="5289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927775"/>
        <c:crosses val="autoZero"/>
        <c:auto val="1"/>
        <c:lblAlgn val="ctr"/>
        <c:lblOffset val="100"/>
        <c:noMultiLvlLbl val="0"/>
      </c:catAx>
      <c:valAx>
        <c:axId val="5289277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2893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region'!$A$21:$A$27</c:f>
              <c:strCache>
                <c:ptCount val="6"/>
                <c:pt idx="0">
                  <c:v>Keyboard</c:v>
                </c:pt>
                <c:pt idx="1">
                  <c:v>Monitor</c:v>
                </c:pt>
                <c:pt idx="2">
                  <c:v>Mouse</c:v>
                </c:pt>
                <c:pt idx="3">
                  <c:v>Printer</c:v>
                </c:pt>
                <c:pt idx="4">
                  <c:v>Scanner</c:v>
                </c:pt>
                <c:pt idx="5">
                  <c:v>Speaker</c:v>
                </c:pt>
              </c:strCache>
            </c:strRef>
          </c:cat>
          <c:val>
            <c:numRef>
              <c:f>'sales by region'!$B$21:$B$27</c:f>
              <c:numCache>
                <c:formatCode>0.00%</c:formatCode>
                <c:ptCount val="6"/>
                <c:pt idx="0">
                  <c:v>7.5314611418873481E-2</c:v>
                </c:pt>
                <c:pt idx="1">
                  <c:v>0.26991811224415535</c:v>
                </c:pt>
                <c:pt idx="2">
                  <c:v>1.364990000553099E-2</c:v>
                </c:pt>
                <c:pt idx="3">
                  <c:v>0.29184411924813475</c:v>
                </c:pt>
                <c:pt idx="4">
                  <c:v>0.25277204463217462</c:v>
                </c:pt>
                <c:pt idx="5">
                  <c:v>9.6501212451130802E-2</c:v>
                </c:pt>
              </c:numCache>
            </c:numRef>
          </c:val>
          <c:extLst>
            <c:ext xmlns:c16="http://schemas.microsoft.com/office/drawing/2014/chart" uri="{C3380CC4-5D6E-409C-BE32-E72D297353CC}">
              <c16:uniqueId val="{00000000-0F92-4D30-80FD-2048447AB9B3}"/>
            </c:ext>
          </c:extLst>
        </c:ser>
        <c:dLbls>
          <c:showLegendKey val="0"/>
          <c:showVal val="0"/>
          <c:showCatName val="0"/>
          <c:showSerName val="0"/>
          <c:showPercent val="0"/>
          <c:showBubbleSize val="0"/>
        </c:dLbls>
        <c:gapWidth val="182"/>
        <c:axId val="689282783"/>
        <c:axId val="689284031"/>
      </c:barChart>
      <c:catAx>
        <c:axId val="689282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284031"/>
        <c:crosses val="autoZero"/>
        <c:auto val="1"/>
        <c:lblAlgn val="ctr"/>
        <c:lblOffset val="100"/>
        <c:noMultiLvlLbl val="0"/>
      </c:catAx>
      <c:valAx>
        <c:axId val="689284031"/>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8928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region!PivotTable11</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region'!$B$41</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region'!$A$42:$A$48</c:f>
              <c:strCache>
                <c:ptCount val="6"/>
                <c:pt idx="0">
                  <c:v>Mouse</c:v>
                </c:pt>
                <c:pt idx="1">
                  <c:v>Scanner</c:v>
                </c:pt>
                <c:pt idx="2">
                  <c:v>Speaker</c:v>
                </c:pt>
                <c:pt idx="3">
                  <c:v>Printer</c:v>
                </c:pt>
                <c:pt idx="4">
                  <c:v>Keyboard</c:v>
                </c:pt>
                <c:pt idx="5">
                  <c:v>Monitor</c:v>
                </c:pt>
              </c:strCache>
            </c:strRef>
          </c:cat>
          <c:val>
            <c:numRef>
              <c:f>'sales by region'!$B$42:$B$48</c:f>
              <c:numCache>
                <c:formatCode>General</c:formatCode>
                <c:ptCount val="6"/>
                <c:pt idx="0">
                  <c:v>521</c:v>
                </c:pt>
                <c:pt idx="1">
                  <c:v>603</c:v>
                </c:pt>
                <c:pt idx="2">
                  <c:v>975</c:v>
                </c:pt>
                <c:pt idx="3">
                  <c:v>1023</c:v>
                </c:pt>
                <c:pt idx="4">
                  <c:v>1078</c:v>
                </c:pt>
                <c:pt idx="5">
                  <c:v>1253</c:v>
                </c:pt>
              </c:numCache>
            </c:numRef>
          </c:val>
          <c:extLst>
            <c:ext xmlns:c16="http://schemas.microsoft.com/office/drawing/2014/chart" uri="{C3380CC4-5D6E-409C-BE32-E72D297353CC}">
              <c16:uniqueId val="{00000000-B08E-4EEB-A026-A72BA02E92B0}"/>
            </c:ext>
          </c:extLst>
        </c:ser>
        <c:dLbls>
          <c:showLegendKey val="0"/>
          <c:showVal val="0"/>
          <c:showCatName val="0"/>
          <c:showSerName val="0"/>
          <c:showPercent val="0"/>
          <c:showBubbleSize val="0"/>
        </c:dLbls>
        <c:gapWidth val="150"/>
        <c:axId val="530215839"/>
        <c:axId val="530217087"/>
      </c:barChart>
      <c:valAx>
        <c:axId val="530217087"/>
        <c:scaling>
          <c:orientation val="minMax"/>
        </c:scaling>
        <c:delete val="1"/>
        <c:axPos val="b"/>
        <c:numFmt formatCode="General" sourceLinked="1"/>
        <c:majorTickMark val="out"/>
        <c:minorTickMark val="none"/>
        <c:tickLblPos val="nextTo"/>
        <c:crossAx val="530215839"/>
        <c:crosses val="autoZero"/>
        <c:crossBetween val="between"/>
      </c:valAx>
      <c:catAx>
        <c:axId val="530215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17087"/>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region!PivotTable12</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4014752221013"/>
          <c:y val="0"/>
          <c:w val="0.87530674519343621"/>
          <c:h val="0.87268518518518523"/>
        </c:manualLayout>
      </c:layout>
      <c:barChart>
        <c:barDir val="bar"/>
        <c:grouping val="clustered"/>
        <c:varyColors val="0"/>
        <c:ser>
          <c:idx val="0"/>
          <c:order val="0"/>
          <c:tx>
            <c:strRef>
              <c:f>'sales by region'!$B$55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region'!$A$56:$A$62</c:f>
              <c:strCache>
                <c:ptCount val="6"/>
                <c:pt idx="0">
                  <c:v>Monitor</c:v>
                </c:pt>
                <c:pt idx="1">
                  <c:v>Keyboard</c:v>
                </c:pt>
                <c:pt idx="2">
                  <c:v>Printer</c:v>
                </c:pt>
                <c:pt idx="3">
                  <c:v>Speaker</c:v>
                </c:pt>
                <c:pt idx="4">
                  <c:v>Scanner</c:v>
                </c:pt>
                <c:pt idx="5">
                  <c:v>Mouse</c:v>
                </c:pt>
              </c:strCache>
            </c:strRef>
          </c:cat>
          <c:val>
            <c:numRef>
              <c:f>'sales by region'!$B$56:$B$62</c:f>
              <c:numCache>
                <c:formatCode>General</c:formatCode>
                <c:ptCount val="6"/>
                <c:pt idx="0">
                  <c:v>1253</c:v>
                </c:pt>
                <c:pt idx="1">
                  <c:v>1078</c:v>
                </c:pt>
                <c:pt idx="2">
                  <c:v>1023</c:v>
                </c:pt>
                <c:pt idx="3">
                  <c:v>975</c:v>
                </c:pt>
                <c:pt idx="4">
                  <c:v>603</c:v>
                </c:pt>
                <c:pt idx="5">
                  <c:v>521</c:v>
                </c:pt>
              </c:numCache>
            </c:numRef>
          </c:val>
          <c:extLst>
            <c:ext xmlns:c16="http://schemas.microsoft.com/office/drawing/2014/chart" uri="{C3380CC4-5D6E-409C-BE32-E72D297353CC}">
              <c16:uniqueId val="{00000000-3CDF-4863-B752-135AADE6EA71}"/>
            </c:ext>
          </c:extLst>
        </c:ser>
        <c:dLbls>
          <c:showLegendKey val="0"/>
          <c:showVal val="0"/>
          <c:showCatName val="0"/>
          <c:showSerName val="0"/>
          <c:showPercent val="0"/>
          <c:showBubbleSize val="0"/>
        </c:dLbls>
        <c:gapWidth val="182"/>
        <c:axId val="412628079"/>
        <c:axId val="412621839"/>
      </c:barChart>
      <c:catAx>
        <c:axId val="412628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621839"/>
        <c:crosses val="autoZero"/>
        <c:auto val="1"/>
        <c:lblAlgn val="ctr"/>
        <c:lblOffset val="100"/>
        <c:noMultiLvlLbl val="0"/>
      </c:catAx>
      <c:valAx>
        <c:axId val="412621839"/>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12628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region'!$B$55</c:f>
              <c:strCache>
                <c:ptCount val="1"/>
                <c:pt idx="0">
                  <c:v>Total</c:v>
                </c:pt>
              </c:strCache>
            </c:strRef>
          </c:tx>
          <c:spPr>
            <a:solidFill>
              <a:schemeClr val="accent1"/>
            </a:solidFill>
            <a:ln>
              <a:noFill/>
            </a:ln>
            <a:effectLst/>
          </c:spPr>
          <c:invertIfNegative val="0"/>
          <c:cat>
            <c:strRef>
              <c:f>'sales by region'!$A$56:$A$62</c:f>
              <c:strCache>
                <c:ptCount val="6"/>
                <c:pt idx="0">
                  <c:v>Monitor</c:v>
                </c:pt>
                <c:pt idx="1">
                  <c:v>Keyboard</c:v>
                </c:pt>
                <c:pt idx="2">
                  <c:v>Printer</c:v>
                </c:pt>
                <c:pt idx="3">
                  <c:v>Speaker</c:v>
                </c:pt>
                <c:pt idx="4">
                  <c:v>Scanner</c:v>
                </c:pt>
                <c:pt idx="5">
                  <c:v>Mouse</c:v>
                </c:pt>
              </c:strCache>
            </c:strRef>
          </c:cat>
          <c:val>
            <c:numRef>
              <c:f>'sales by region'!$B$56:$B$62</c:f>
              <c:numCache>
                <c:formatCode>General</c:formatCode>
                <c:ptCount val="6"/>
                <c:pt idx="0">
                  <c:v>1253</c:v>
                </c:pt>
                <c:pt idx="1">
                  <c:v>1078</c:v>
                </c:pt>
                <c:pt idx="2">
                  <c:v>1023</c:v>
                </c:pt>
                <c:pt idx="3">
                  <c:v>975</c:v>
                </c:pt>
                <c:pt idx="4">
                  <c:v>603</c:v>
                </c:pt>
                <c:pt idx="5">
                  <c:v>521</c:v>
                </c:pt>
              </c:numCache>
            </c:numRef>
          </c:val>
          <c:extLst>
            <c:ext xmlns:c16="http://schemas.microsoft.com/office/drawing/2014/chart" uri="{C3380CC4-5D6E-409C-BE32-E72D297353CC}">
              <c16:uniqueId val="{00000000-F352-4AAA-9209-02B84176F538}"/>
            </c:ext>
          </c:extLst>
        </c:ser>
        <c:dLbls>
          <c:showLegendKey val="0"/>
          <c:showVal val="0"/>
          <c:showCatName val="0"/>
          <c:showSerName val="0"/>
          <c:showPercent val="0"/>
          <c:showBubbleSize val="0"/>
        </c:dLbls>
        <c:gapWidth val="182"/>
        <c:axId val="201757663"/>
        <c:axId val="201757247"/>
      </c:barChart>
      <c:catAx>
        <c:axId val="20175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7247"/>
        <c:crosses val="autoZero"/>
        <c:auto val="1"/>
        <c:lblAlgn val="ctr"/>
        <c:lblOffset val="100"/>
        <c:noMultiLvlLbl val="0"/>
      </c:catAx>
      <c:valAx>
        <c:axId val="20175724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75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region!PivotTable12</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region'!$A$56:$A$62</c:f>
              <c:strCache>
                <c:ptCount val="6"/>
                <c:pt idx="0">
                  <c:v>Monitor</c:v>
                </c:pt>
                <c:pt idx="1">
                  <c:v>Keyboard</c:v>
                </c:pt>
                <c:pt idx="2">
                  <c:v>Printer</c:v>
                </c:pt>
                <c:pt idx="3">
                  <c:v>Speaker</c:v>
                </c:pt>
                <c:pt idx="4">
                  <c:v>Scanner</c:v>
                </c:pt>
                <c:pt idx="5">
                  <c:v>Mouse</c:v>
                </c:pt>
              </c:strCache>
            </c:strRef>
          </c:cat>
          <c:val>
            <c:numRef>
              <c:f>'sales by region'!$B$56:$B$62</c:f>
              <c:numCache>
                <c:formatCode>General</c:formatCode>
                <c:ptCount val="6"/>
                <c:pt idx="0">
                  <c:v>1253</c:v>
                </c:pt>
                <c:pt idx="1">
                  <c:v>1078</c:v>
                </c:pt>
                <c:pt idx="2">
                  <c:v>1023</c:v>
                </c:pt>
                <c:pt idx="3">
                  <c:v>975</c:v>
                </c:pt>
                <c:pt idx="4">
                  <c:v>603</c:v>
                </c:pt>
                <c:pt idx="5">
                  <c:v>521</c:v>
                </c:pt>
              </c:numCache>
            </c:numRef>
          </c:val>
          <c:extLst>
            <c:ext xmlns:c16="http://schemas.microsoft.com/office/drawing/2014/chart" uri="{C3380CC4-5D6E-409C-BE32-E72D297353CC}">
              <c16:uniqueId val="{00000000-F352-4AAA-9209-02B84176F538}"/>
            </c:ext>
          </c:extLst>
        </c:ser>
        <c:dLbls>
          <c:showLegendKey val="0"/>
          <c:showVal val="0"/>
          <c:showCatName val="0"/>
          <c:showSerName val="0"/>
          <c:showPercent val="0"/>
          <c:showBubbleSize val="0"/>
        </c:dLbls>
        <c:gapWidth val="182"/>
        <c:axId val="201757663"/>
        <c:axId val="201757247"/>
      </c:barChart>
      <c:catAx>
        <c:axId val="20175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57247"/>
        <c:crosses val="autoZero"/>
        <c:auto val="1"/>
        <c:lblAlgn val="ctr"/>
        <c:lblOffset val="100"/>
        <c:noMultiLvlLbl val="0"/>
      </c:catAx>
      <c:valAx>
        <c:axId val="201757247"/>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75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board.xlsx]sales by region!PivotTable13</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region'!$B$68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region'!$A$69:$A$75</c:f>
              <c:strCache>
                <c:ptCount val="6"/>
                <c:pt idx="0">
                  <c:v>Keyboard</c:v>
                </c:pt>
                <c:pt idx="1">
                  <c:v>Monitor</c:v>
                </c:pt>
                <c:pt idx="2">
                  <c:v>Mouse</c:v>
                </c:pt>
                <c:pt idx="3">
                  <c:v>Printer</c:v>
                </c:pt>
                <c:pt idx="4">
                  <c:v>Scanner</c:v>
                </c:pt>
                <c:pt idx="5">
                  <c:v>Speaker</c:v>
                </c:pt>
              </c:strCache>
            </c:strRef>
          </c:cat>
          <c:val>
            <c:numRef>
              <c:f>'sales by region'!$B$69:$B$75</c:f>
              <c:numCache>
                <c:formatCode>General</c:formatCode>
                <c:ptCount val="6"/>
                <c:pt idx="0">
                  <c:v>1078</c:v>
                </c:pt>
                <c:pt idx="1">
                  <c:v>1253</c:v>
                </c:pt>
                <c:pt idx="2">
                  <c:v>521</c:v>
                </c:pt>
                <c:pt idx="3">
                  <c:v>1023</c:v>
                </c:pt>
                <c:pt idx="4">
                  <c:v>603</c:v>
                </c:pt>
                <c:pt idx="5">
                  <c:v>975</c:v>
                </c:pt>
              </c:numCache>
            </c:numRef>
          </c:val>
          <c:extLst>
            <c:ext xmlns:c16="http://schemas.microsoft.com/office/drawing/2014/chart" uri="{C3380CC4-5D6E-409C-BE32-E72D297353CC}">
              <c16:uniqueId val="{00000000-21D4-4C33-A2D3-ECFBEFB94A90}"/>
            </c:ext>
          </c:extLst>
        </c:ser>
        <c:dLbls>
          <c:showLegendKey val="0"/>
          <c:showVal val="0"/>
          <c:showCatName val="0"/>
          <c:showSerName val="0"/>
          <c:showPercent val="0"/>
          <c:showBubbleSize val="0"/>
        </c:dLbls>
        <c:gapWidth val="219"/>
        <c:overlap val="-27"/>
        <c:axId val="697131407"/>
        <c:axId val="697131823"/>
      </c:barChart>
      <c:catAx>
        <c:axId val="69713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31823"/>
        <c:crosses val="autoZero"/>
        <c:auto val="1"/>
        <c:lblAlgn val="ctr"/>
        <c:lblOffset val="100"/>
        <c:noMultiLvlLbl val="0"/>
      </c:catAx>
      <c:valAx>
        <c:axId val="697131823"/>
        <c:scaling>
          <c:orientation val="minMax"/>
        </c:scaling>
        <c:delete val="1"/>
        <c:axPos val="l"/>
        <c:numFmt formatCode="General" sourceLinked="1"/>
        <c:majorTickMark val="none"/>
        <c:minorTickMark val="none"/>
        <c:tickLblPos val="nextTo"/>
        <c:crossAx val="69713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Product!A1"/><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7" Type="http://schemas.openxmlformats.org/officeDocument/2006/relationships/chart" Target="../charts/chart5.xml"/><Relationship Id="rId2" Type="http://schemas.openxmlformats.org/officeDocument/2006/relationships/hyperlink" Target="#Product!A1"/><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hyperlink" Target="#Abouts!A1"/></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Salesman!A1"/><Relationship Id="rId1" Type="http://schemas.openxmlformats.org/officeDocument/2006/relationships/image" Target="../media/image1.png"/><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4.jpeg"/><Relationship Id="rId7" Type="http://schemas.openxmlformats.org/officeDocument/2006/relationships/hyperlink" Target="#Abouts!A1"/><Relationship Id="rId2" Type="http://schemas.openxmlformats.org/officeDocument/2006/relationships/image" Target="../media/image3.jpeg"/><Relationship Id="rId1" Type="http://schemas.openxmlformats.org/officeDocument/2006/relationships/image" Target="../media/image1.png"/><Relationship Id="rId6" Type="http://schemas.openxmlformats.org/officeDocument/2006/relationships/hyperlink" Target="#Salesman!A1"/><Relationship Id="rId5" Type="http://schemas.openxmlformats.org/officeDocument/2006/relationships/hyperlink" Target="#Dashboard!A1"/><Relationship Id="rId10" Type="http://schemas.openxmlformats.org/officeDocument/2006/relationships/chart" Target="../charts/chart11.xml"/><Relationship Id="rId4" Type="http://schemas.openxmlformats.org/officeDocument/2006/relationships/hyperlink" Target="#Product!A1"/><Relationship Id="rId9"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502920</xdr:colOff>
      <xdr:row>0</xdr:row>
      <xdr:rowOff>0</xdr:rowOff>
    </xdr:from>
    <xdr:to>
      <xdr:col>21</xdr:col>
      <xdr:colOff>381000</xdr:colOff>
      <xdr:row>30</xdr:row>
      <xdr:rowOff>45720</xdr:rowOff>
    </xdr:to>
    <xdr:sp macro="" textlink="">
      <xdr:nvSpPr>
        <xdr:cNvPr id="2" name="Rectangle: Rounded Corners 1">
          <a:extLst>
            <a:ext uri="{FF2B5EF4-FFF2-40B4-BE49-F238E27FC236}">
              <a16:creationId xmlns:a16="http://schemas.microsoft.com/office/drawing/2014/main" id="{9C1D6CAF-E50C-49AA-8B64-0B6A706FB340}"/>
            </a:ext>
          </a:extLst>
        </xdr:cNvPr>
        <xdr:cNvSpPr/>
      </xdr:nvSpPr>
      <xdr:spPr>
        <a:xfrm>
          <a:off x="502920" y="0"/>
          <a:ext cx="13959840" cy="5303520"/>
        </a:xfrm>
        <a:prstGeom prst="roundRect">
          <a:avLst>
            <a:gd name="adj" fmla="val 69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410466</xdr:colOff>
      <xdr:row>0</xdr:row>
      <xdr:rowOff>121920</xdr:rowOff>
    </xdr:from>
    <xdr:to>
      <xdr:col>20</xdr:col>
      <xdr:colOff>335280</xdr:colOff>
      <xdr:row>28</xdr:row>
      <xdr:rowOff>53340</xdr:rowOff>
    </xdr:to>
    <xdr:sp macro="" textlink="">
      <xdr:nvSpPr>
        <xdr:cNvPr id="3" name="Rectangle: Rounded Corners 2">
          <a:extLst>
            <a:ext uri="{FF2B5EF4-FFF2-40B4-BE49-F238E27FC236}">
              <a16:creationId xmlns:a16="http://schemas.microsoft.com/office/drawing/2014/main" id="{9658EF8A-6744-44A5-A0C6-9A202CBB542D}"/>
            </a:ext>
          </a:extLst>
        </xdr:cNvPr>
        <xdr:cNvSpPr/>
      </xdr:nvSpPr>
      <xdr:spPr>
        <a:xfrm>
          <a:off x="1629666" y="121920"/>
          <a:ext cx="10897614" cy="5052060"/>
        </a:xfrm>
        <a:prstGeom prst="roundRect">
          <a:avLst>
            <a:gd name="adj" fmla="val 6979"/>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281940</xdr:colOff>
      <xdr:row>10</xdr:row>
      <xdr:rowOff>114300</xdr:rowOff>
    </xdr:from>
    <xdr:to>
      <xdr:col>4</xdr:col>
      <xdr:colOff>312420</xdr:colOff>
      <xdr:row>14</xdr:row>
      <xdr:rowOff>114300</xdr:rowOff>
    </xdr:to>
    <xdr:pic>
      <xdr:nvPicPr>
        <xdr:cNvPr id="4" name="Picture 3">
          <a:extLst>
            <a:ext uri="{FF2B5EF4-FFF2-40B4-BE49-F238E27FC236}">
              <a16:creationId xmlns:a16="http://schemas.microsoft.com/office/drawing/2014/main" id="{A1C2C8B4-B001-4C53-9E2C-7E5540AD1C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740" y="1943100"/>
          <a:ext cx="701040" cy="701040"/>
        </a:xfrm>
        <a:prstGeom prst="rect">
          <a:avLst/>
        </a:prstGeom>
      </xdr:spPr>
    </xdr:pic>
    <xdr:clientData/>
  </xdr:twoCellAnchor>
  <xdr:twoCellAnchor>
    <xdr:from>
      <xdr:col>4</xdr:col>
      <xdr:colOff>320040</xdr:colOff>
      <xdr:row>11</xdr:row>
      <xdr:rowOff>121920</xdr:rowOff>
    </xdr:from>
    <xdr:to>
      <xdr:col>6</xdr:col>
      <xdr:colOff>45720</xdr:colOff>
      <xdr:row>13</xdr:row>
      <xdr:rowOff>68580</xdr:rowOff>
    </xdr:to>
    <xdr:sp macro="" textlink="">
      <xdr:nvSpPr>
        <xdr:cNvPr id="5" name="Rectangle: Rounded Corners 4">
          <a:extLst>
            <a:ext uri="{FF2B5EF4-FFF2-40B4-BE49-F238E27FC236}">
              <a16:creationId xmlns:a16="http://schemas.microsoft.com/office/drawing/2014/main" id="{1228D9D9-A317-4128-9C7A-081DE520695E}"/>
            </a:ext>
          </a:extLst>
        </xdr:cNvPr>
        <xdr:cNvSpPr/>
      </xdr:nvSpPr>
      <xdr:spPr>
        <a:xfrm>
          <a:off x="2758440" y="2133600"/>
          <a:ext cx="944880" cy="3124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Analytics</a:t>
          </a:r>
        </a:p>
      </xdr:txBody>
    </xdr:sp>
    <xdr:clientData/>
  </xdr:twoCellAnchor>
  <xdr:twoCellAnchor>
    <xdr:from>
      <xdr:col>11</xdr:col>
      <xdr:colOff>99544</xdr:colOff>
      <xdr:row>11</xdr:row>
      <xdr:rowOff>114300</xdr:rowOff>
    </xdr:from>
    <xdr:to>
      <xdr:col>19</xdr:col>
      <xdr:colOff>15240</xdr:colOff>
      <xdr:row>19</xdr:row>
      <xdr:rowOff>137160</xdr:rowOff>
    </xdr:to>
    <xdr:sp macro="" textlink="">
      <xdr:nvSpPr>
        <xdr:cNvPr id="6" name="Rectangle 5">
          <a:extLst>
            <a:ext uri="{FF2B5EF4-FFF2-40B4-BE49-F238E27FC236}">
              <a16:creationId xmlns:a16="http://schemas.microsoft.com/office/drawing/2014/main" id="{5E28DB39-1285-40B2-90A4-33832DCD30E5}"/>
            </a:ext>
          </a:extLst>
        </xdr:cNvPr>
        <xdr:cNvSpPr/>
      </xdr:nvSpPr>
      <xdr:spPr>
        <a:xfrm>
          <a:off x="6805144" y="2125980"/>
          <a:ext cx="4792496" cy="1485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99060</xdr:colOff>
      <xdr:row>20</xdr:row>
      <xdr:rowOff>22860</xdr:rowOff>
    </xdr:from>
    <xdr:to>
      <xdr:col>19</xdr:col>
      <xdr:colOff>83820</xdr:colOff>
      <xdr:row>27</xdr:row>
      <xdr:rowOff>83820</xdr:rowOff>
    </xdr:to>
    <xdr:sp macro="" textlink="">
      <xdr:nvSpPr>
        <xdr:cNvPr id="7" name="Rectangle 6">
          <a:extLst>
            <a:ext uri="{FF2B5EF4-FFF2-40B4-BE49-F238E27FC236}">
              <a16:creationId xmlns:a16="http://schemas.microsoft.com/office/drawing/2014/main" id="{9FBC87DE-8757-4E7E-81CD-E99C0F68D73E}"/>
            </a:ext>
          </a:extLst>
        </xdr:cNvPr>
        <xdr:cNvSpPr/>
      </xdr:nvSpPr>
      <xdr:spPr>
        <a:xfrm>
          <a:off x="6804660" y="3680460"/>
          <a:ext cx="4861560" cy="13411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320040</xdr:colOff>
      <xdr:row>12</xdr:row>
      <xdr:rowOff>7620</xdr:rowOff>
    </xdr:from>
    <xdr:to>
      <xdr:col>14</xdr:col>
      <xdr:colOff>449580</xdr:colOff>
      <xdr:row>13</xdr:row>
      <xdr:rowOff>106680</xdr:rowOff>
    </xdr:to>
    <xdr:sp macro="" textlink="">
      <xdr:nvSpPr>
        <xdr:cNvPr id="9" name="TextBox 8">
          <a:extLst>
            <a:ext uri="{FF2B5EF4-FFF2-40B4-BE49-F238E27FC236}">
              <a16:creationId xmlns:a16="http://schemas.microsoft.com/office/drawing/2014/main" id="{86DF50F6-7302-4CC8-A4F3-51B090643E77}"/>
            </a:ext>
          </a:extLst>
        </xdr:cNvPr>
        <xdr:cNvSpPr txBox="1"/>
      </xdr:nvSpPr>
      <xdr:spPr>
        <a:xfrm>
          <a:off x="7025640" y="2202180"/>
          <a:ext cx="195834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Top</a:t>
          </a:r>
          <a:r>
            <a:rPr lang="en-IN" sz="1100" baseline="0"/>
            <a:t> performing 3 Salesman</a:t>
          </a:r>
          <a:endParaRPr lang="en-IN" sz="1100"/>
        </a:p>
      </xdr:txBody>
    </xdr:sp>
    <xdr:clientData/>
  </xdr:twoCellAnchor>
  <xdr:twoCellAnchor>
    <xdr:from>
      <xdr:col>11</xdr:col>
      <xdr:colOff>251460</xdr:colOff>
      <xdr:row>20</xdr:row>
      <xdr:rowOff>53340</xdr:rowOff>
    </xdr:from>
    <xdr:to>
      <xdr:col>14</xdr:col>
      <xdr:colOff>350520</xdr:colOff>
      <xdr:row>22</xdr:row>
      <xdr:rowOff>76200</xdr:rowOff>
    </xdr:to>
    <xdr:sp macro="" textlink="">
      <xdr:nvSpPr>
        <xdr:cNvPr id="10" name="TextBox 9">
          <a:extLst>
            <a:ext uri="{FF2B5EF4-FFF2-40B4-BE49-F238E27FC236}">
              <a16:creationId xmlns:a16="http://schemas.microsoft.com/office/drawing/2014/main" id="{86C7357E-6C4C-401C-85CD-BFCC784730E2}"/>
            </a:ext>
          </a:extLst>
        </xdr:cNvPr>
        <xdr:cNvSpPr txBox="1"/>
      </xdr:nvSpPr>
      <xdr:spPr>
        <a:xfrm>
          <a:off x="6957060" y="3710940"/>
          <a:ext cx="192786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Poor performing 3 salesman</a:t>
          </a:r>
          <a:endParaRPr lang="en-IN" sz="1100"/>
        </a:p>
      </xdr:txBody>
    </xdr:sp>
    <xdr:clientData/>
  </xdr:twoCellAnchor>
  <xdr:twoCellAnchor>
    <xdr:from>
      <xdr:col>0</xdr:col>
      <xdr:colOff>533400</xdr:colOff>
      <xdr:row>8</xdr:row>
      <xdr:rowOff>83820</xdr:rowOff>
    </xdr:from>
    <xdr:to>
      <xdr:col>2</xdr:col>
      <xdr:colOff>342900</xdr:colOff>
      <xdr:row>10</xdr:row>
      <xdr:rowOff>53340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23F68B8B-D228-473E-9027-57CFFFCE468D}"/>
            </a:ext>
          </a:extLst>
        </xdr:cNvPr>
        <xdr:cNvSpPr/>
      </xdr:nvSpPr>
      <xdr:spPr>
        <a:xfrm>
          <a:off x="533400" y="1546860"/>
          <a:ext cx="1028700" cy="33528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a:ln>
                <a:solidFill>
                  <a:sysClr val="windowText" lastClr="000000"/>
                </a:solidFill>
              </a:ln>
              <a:solidFill>
                <a:schemeClr val="tx1"/>
              </a:solidFill>
            </a:rPr>
            <a:t>PRODUCTS</a:t>
          </a:r>
        </a:p>
      </xdr:txBody>
    </xdr:sp>
    <xdr:clientData/>
  </xdr:twoCellAnchor>
  <xdr:twoCellAnchor>
    <xdr:from>
      <xdr:col>0</xdr:col>
      <xdr:colOff>518160</xdr:colOff>
      <xdr:row>5</xdr:row>
      <xdr:rowOff>137160</xdr:rowOff>
    </xdr:from>
    <xdr:to>
      <xdr:col>2</xdr:col>
      <xdr:colOff>335280</xdr:colOff>
      <xdr:row>8</xdr:row>
      <xdr:rowOff>0</xdr:rowOff>
    </xdr:to>
    <xdr:sp macro="" textlink="">
      <xdr:nvSpPr>
        <xdr:cNvPr id="12" name="Rectangle: Rounded Corners 11">
          <a:extLst>
            <a:ext uri="{FF2B5EF4-FFF2-40B4-BE49-F238E27FC236}">
              <a16:creationId xmlns:a16="http://schemas.microsoft.com/office/drawing/2014/main" id="{C9875189-8752-470C-A76D-500E018B6583}"/>
            </a:ext>
          </a:extLst>
        </xdr:cNvPr>
        <xdr:cNvSpPr/>
      </xdr:nvSpPr>
      <xdr:spPr>
        <a:xfrm>
          <a:off x="518160" y="1051560"/>
          <a:ext cx="1036320" cy="4114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b="0" cap="none" spc="0">
              <a:ln w="0">
                <a:solidFill>
                  <a:schemeClr val="tx1"/>
                </a:solidFill>
              </a:ln>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0</xdr:col>
      <xdr:colOff>533400</xdr:colOff>
      <xdr:row>11</xdr:row>
      <xdr:rowOff>38100</xdr:rowOff>
    </xdr:from>
    <xdr:to>
      <xdr:col>2</xdr:col>
      <xdr:colOff>411480</xdr:colOff>
      <xdr:row>12</xdr:row>
      <xdr:rowOff>175260</xdr:rowOff>
    </xdr:to>
    <xdr:sp macro="" textlink="">
      <xdr:nvSpPr>
        <xdr:cNvPr id="13" name="Rectangle: Rounded Corners 12">
          <a:extLst>
            <a:ext uri="{FF2B5EF4-FFF2-40B4-BE49-F238E27FC236}">
              <a16:creationId xmlns:a16="http://schemas.microsoft.com/office/drawing/2014/main" id="{0AEC5B03-ADEF-4201-88C8-3F3AEAFA97DA}"/>
            </a:ext>
          </a:extLst>
        </xdr:cNvPr>
        <xdr:cNvSpPr/>
      </xdr:nvSpPr>
      <xdr:spPr>
        <a:xfrm>
          <a:off x="533400" y="2049780"/>
          <a:ext cx="1097280" cy="32004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sz="1400">
              <a:ln>
                <a:solidFill>
                  <a:schemeClr val="tx1"/>
                </a:solidFill>
              </a:ln>
              <a:solidFill>
                <a:schemeClr val="tx1"/>
              </a:solidFill>
            </a:rPr>
            <a:t>Sales</a:t>
          </a:r>
          <a:r>
            <a:rPr lang="en-IN" sz="1400" baseline="0">
              <a:ln>
                <a:solidFill>
                  <a:schemeClr val="tx1"/>
                </a:solidFill>
              </a:ln>
              <a:solidFill>
                <a:schemeClr val="tx1"/>
              </a:solidFill>
            </a:rPr>
            <a:t> man</a:t>
          </a:r>
          <a:endParaRPr lang="en-IN" sz="1400">
            <a:ln>
              <a:solidFill>
                <a:schemeClr val="tx1"/>
              </a:solidFill>
            </a:ln>
            <a:solidFill>
              <a:schemeClr val="tx1"/>
            </a:solidFill>
          </a:endParaRPr>
        </a:p>
      </xdr:txBody>
    </xdr:sp>
    <xdr:clientData/>
  </xdr:twoCellAnchor>
  <xdr:twoCellAnchor>
    <xdr:from>
      <xdr:col>0</xdr:col>
      <xdr:colOff>548640</xdr:colOff>
      <xdr:row>13</xdr:row>
      <xdr:rowOff>167640</xdr:rowOff>
    </xdr:from>
    <xdr:to>
      <xdr:col>2</xdr:col>
      <xdr:colOff>335280</xdr:colOff>
      <xdr:row>15</xdr:row>
      <xdr:rowOff>129540</xdr:rowOff>
    </xdr:to>
    <xdr:sp macro="" textlink="">
      <xdr:nvSpPr>
        <xdr:cNvPr id="14" name="Rectangle: Rounded Corners 13">
          <a:extLst>
            <a:ext uri="{FF2B5EF4-FFF2-40B4-BE49-F238E27FC236}">
              <a16:creationId xmlns:a16="http://schemas.microsoft.com/office/drawing/2014/main" id="{447FD51A-674E-4AC2-8AAA-7F50A5C2587F}"/>
            </a:ext>
          </a:extLst>
        </xdr:cNvPr>
        <xdr:cNvSpPr/>
      </xdr:nvSpPr>
      <xdr:spPr>
        <a:xfrm>
          <a:off x="548640" y="2545080"/>
          <a:ext cx="1005840" cy="32766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sz="1400">
              <a:solidFill>
                <a:srgbClr val="002060"/>
              </a:solidFill>
            </a:rPr>
            <a:t>About</a:t>
          </a:r>
          <a:r>
            <a:rPr lang="en-IN" sz="1400" baseline="0">
              <a:solidFill>
                <a:srgbClr val="002060"/>
              </a:solidFill>
            </a:rPr>
            <a:t> us</a:t>
          </a:r>
          <a:endParaRPr lang="en-IN" sz="1400">
            <a:solidFill>
              <a:srgbClr val="002060"/>
            </a:solidFill>
          </a:endParaRPr>
        </a:p>
      </xdr:txBody>
    </xdr:sp>
    <xdr:clientData/>
  </xdr:twoCellAnchor>
  <xdr:twoCellAnchor editAs="oneCell">
    <xdr:from>
      <xdr:col>13</xdr:col>
      <xdr:colOff>198120</xdr:colOff>
      <xdr:row>2</xdr:row>
      <xdr:rowOff>45720</xdr:rowOff>
    </xdr:from>
    <xdr:to>
      <xdr:col>19</xdr:col>
      <xdr:colOff>198120</xdr:colOff>
      <xdr:row>6</xdr:row>
      <xdr:rowOff>60960</xdr:rowOff>
    </xdr:to>
    <mc:AlternateContent xmlns:mc="http://schemas.openxmlformats.org/markup-compatibility/2006" xmlns:a14="http://schemas.microsoft.com/office/drawing/2010/main">
      <mc:Choice Requires="a14">
        <xdr:graphicFrame macro="">
          <xdr:nvGraphicFramePr>
            <xdr:cNvPr id="15" name="Region 4">
              <a:extLst>
                <a:ext uri="{FF2B5EF4-FFF2-40B4-BE49-F238E27FC236}">
                  <a16:creationId xmlns:a16="http://schemas.microsoft.com/office/drawing/2014/main" id="{099C5DCF-D829-4033-AF9C-FFF8B5881F5D}"/>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915400" y="396240"/>
              <a:ext cx="402336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1</xdr:row>
      <xdr:rowOff>160021</xdr:rowOff>
    </xdr:from>
    <xdr:to>
      <xdr:col>11</xdr:col>
      <xdr:colOff>525780</xdr:colOff>
      <xdr:row>6</xdr:row>
      <xdr:rowOff>121921</xdr:rowOff>
    </xdr:to>
    <mc:AlternateContent xmlns:mc="http://schemas.openxmlformats.org/markup-compatibility/2006" xmlns:a14="http://schemas.microsoft.com/office/drawing/2010/main">
      <mc:Choice Requires="a14">
        <xdr:graphicFrame macro="">
          <xdr:nvGraphicFramePr>
            <xdr:cNvPr id="16" name="Date 4">
              <a:extLst>
                <a:ext uri="{FF2B5EF4-FFF2-40B4-BE49-F238E27FC236}">
                  <a16:creationId xmlns:a16="http://schemas.microsoft.com/office/drawing/2014/main" id="{51C588F4-8EB7-4103-B044-1E549746FA12}"/>
                </a:ext>
              </a:extLst>
            </xdr:cNvPr>
            <xdr:cNvGraphicFramePr/>
          </xdr:nvGraphicFramePr>
          <xdr:xfrm>
            <a:off x="0" y="0"/>
            <a:ext cx="0" cy="0"/>
          </xdr:xfrm>
          <a:graphic>
            <a:graphicData uri="http://schemas.microsoft.com/office/drawing/2010/slicer">
              <sle:slicer xmlns:sle="http://schemas.microsoft.com/office/drawing/2010/slicer" name="Date 4"/>
            </a:graphicData>
          </a:graphic>
        </xdr:graphicFrame>
      </mc:Choice>
      <mc:Fallback xmlns="">
        <xdr:sp macro="" textlink="">
          <xdr:nvSpPr>
            <xdr:cNvPr id="0" name=""/>
            <xdr:cNvSpPr>
              <a:spLocks noTextEdit="1"/>
            </xdr:cNvSpPr>
          </xdr:nvSpPr>
          <xdr:spPr>
            <a:xfrm>
              <a:off x="2392680" y="335281"/>
              <a:ext cx="550926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7</xdr:row>
      <xdr:rowOff>99060</xdr:rowOff>
    </xdr:from>
    <xdr:to>
      <xdr:col>16</xdr:col>
      <xdr:colOff>236220</xdr:colOff>
      <xdr:row>10</xdr:row>
      <xdr:rowOff>152400</xdr:rowOff>
    </xdr:to>
    <mc:AlternateContent xmlns:mc="http://schemas.openxmlformats.org/markup-compatibility/2006" xmlns:a14="http://schemas.microsoft.com/office/drawing/2010/main">
      <mc:Choice Requires="a14">
        <xdr:graphicFrame macro="">
          <xdr:nvGraphicFramePr>
            <xdr:cNvPr id="17" name="Item 4">
              <a:extLst>
                <a:ext uri="{FF2B5EF4-FFF2-40B4-BE49-F238E27FC236}">
                  <a16:creationId xmlns:a16="http://schemas.microsoft.com/office/drawing/2014/main" id="{2DADE1BF-4527-4AC1-B784-F269BF91150D}"/>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354580" y="1325880"/>
              <a:ext cx="861060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335280</xdr:colOff>
      <xdr:row>21</xdr:row>
      <xdr:rowOff>99060</xdr:rowOff>
    </xdr:from>
    <xdr:to>
      <xdr:col>18</xdr:col>
      <xdr:colOff>403860</xdr:colOff>
      <xdr:row>26</xdr:row>
      <xdr:rowOff>114300</xdr:rowOff>
    </xdr:to>
    <xdr:graphicFrame macro="">
      <xdr:nvGraphicFramePr>
        <xdr:cNvPr id="18" name="Chart 17">
          <a:extLst>
            <a:ext uri="{FF2B5EF4-FFF2-40B4-BE49-F238E27FC236}">
              <a16:creationId xmlns:a16="http://schemas.microsoft.com/office/drawing/2014/main" id="{739EC3E2-644B-48A7-B884-342910706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267184</xdr:colOff>
      <xdr:row>13</xdr:row>
      <xdr:rowOff>152400</xdr:rowOff>
    </xdr:from>
    <xdr:to>
      <xdr:col>18</xdr:col>
      <xdr:colOff>449580</xdr:colOff>
      <xdr:row>19</xdr:row>
      <xdr:rowOff>7620</xdr:rowOff>
    </xdr:to>
    <xdr:graphicFrame macro="">
      <xdr:nvGraphicFramePr>
        <xdr:cNvPr id="19" name="Chart 18">
          <a:extLst>
            <a:ext uri="{FF2B5EF4-FFF2-40B4-BE49-F238E27FC236}">
              <a16:creationId xmlns:a16="http://schemas.microsoft.com/office/drawing/2014/main" id="{E41527B2-2B7D-4B85-ADF8-927955555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0</xdr:row>
      <xdr:rowOff>0</xdr:rowOff>
    </xdr:from>
    <xdr:to>
      <xdr:col>21</xdr:col>
      <xdr:colOff>373380</xdr:colOff>
      <xdr:row>30</xdr:row>
      <xdr:rowOff>45720</xdr:rowOff>
    </xdr:to>
    <xdr:sp macro="" textlink="">
      <xdr:nvSpPr>
        <xdr:cNvPr id="2" name="Rectangle: Rounded Corners 1">
          <a:extLst>
            <a:ext uri="{FF2B5EF4-FFF2-40B4-BE49-F238E27FC236}">
              <a16:creationId xmlns:a16="http://schemas.microsoft.com/office/drawing/2014/main" id="{DD95E493-076F-497B-BA80-31CA09C66897}"/>
            </a:ext>
          </a:extLst>
        </xdr:cNvPr>
        <xdr:cNvSpPr/>
      </xdr:nvSpPr>
      <xdr:spPr>
        <a:xfrm>
          <a:off x="495300" y="0"/>
          <a:ext cx="12679680" cy="5532120"/>
        </a:xfrm>
        <a:prstGeom prst="roundRect">
          <a:avLst>
            <a:gd name="adj" fmla="val 69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410466</xdr:colOff>
      <xdr:row>0</xdr:row>
      <xdr:rowOff>121920</xdr:rowOff>
    </xdr:from>
    <xdr:to>
      <xdr:col>20</xdr:col>
      <xdr:colOff>335280</xdr:colOff>
      <xdr:row>28</xdr:row>
      <xdr:rowOff>53340</xdr:rowOff>
    </xdr:to>
    <xdr:sp macro="" textlink="">
      <xdr:nvSpPr>
        <xdr:cNvPr id="3" name="Rectangle: Rounded Corners 2">
          <a:extLst>
            <a:ext uri="{FF2B5EF4-FFF2-40B4-BE49-F238E27FC236}">
              <a16:creationId xmlns:a16="http://schemas.microsoft.com/office/drawing/2014/main" id="{98BDED18-CE3D-4514-95D8-59F7A28DE6E5}"/>
            </a:ext>
          </a:extLst>
        </xdr:cNvPr>
        <xdr:cNvSpPr/>
      </xdr:nvSpPr>
      <xdr:spPr>
        <a:xfrm>
          <a:off x="1629666" y="121920"/>
          <a:ext cx="10897614" cy="5052060"/>
        </a:xfrm>
        <a:prstGeom prst="roundRect">
          <a:avLst>
            <a:gd name="adj" fmla="val 6979"/>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281940</xdr:colOff>
      <xdr:row>10</xdr:row>
      <xdr:rowOff>114300</xdr:rowOff>
    </xdr:from>
    <xdr:to>
      <xdr:col>4</xdr:col>
      <xdr:colOff>312420</xdr:colOff>
      <xdr:row>14</xdr:row>
      <xdr:rowOff>114300</xdr:rowOff>
    </xdr:to>
    <xdr:pic>
      <xdr:nvPicPr>
        <xdr:cNvPr id="4" name="Picture 3">
          <a:extLst>
            <a:ext uri="{FF2B5EF4-FFF2-40B4-BE49-F238E27FC236}">
              <a16:creationId xmlns:a16="http://schemas.microsoft.com/office/drawing/2014/main" id="{17339811-5D4F-446F-B946-8EE4F3DC91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740" y="1943100"/>
          <a:ext cx="701040" cy="701040"/>
        </a:xfrm>
        <a:prstGeom prst="rect">
          <a:avLst/>
        </a:prstGeom>
      </xdr:spPr>
    </xdr:pic>
    <xdr:clientData/>
  </xdr:twoCellAnchor>
  <xdr:twoCellAnchor>
    <xdr:from>
      <xdr:col>4</xdr:col>
      <xdr:colOff>320040</xdr:colOff>
      <xdr:row>11</xdr:row>
      <xdr:rowOff>121920</xdr:rowOff>
    </xdr:from>
    <xdr:to>
      <xdr:col>6</xdr:col>
      <xdr:colOff>45720</xdr:colOff>
      <xdr:row>13</xdr:row>
      <xdr:rowOff>68580</xdr:rowOff>
    </xdr:to>
    <xdr:sp macro="" textlink="">
      <xdr:nvSpPr>
        <xdr:cNvPr id="5" name="Rectangle: Rounded Corners 4">
          <a:extLst>
            <a:ext uri="{FF2B5EF4-FFF2-40B4-BE49-F238E27FC236}">
              <a16:creationId xmlns:a16="http://schemas.microsoft.com/office/drawing/2014/main" id="{EFCD1663-8C8D-4921-86EC-676A0910AAF7}"/>
            </a:ext>
          </a:extLst>
        </xdr:cNvPr>
        <xdr:cNvSpPr/>
      </xdr:nvSpPr>
      <xdr:spPr>
        <a:xfrm>
          <a:off x="2758440" y="2133600"/>
          <a:ext cx="944880" cy="3124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Analytics</a:t>
          </a:r>
        </a:p>
      </xdr:txBody>
    </xdr:sp>
    <xdr:clientData/>
  </xdr:twoCellAnchor>
  <xdr:twoCellAnchor>
    <xdr:from>
      <xdr:col>11</xdr:col>
      <xdr:colOff>99544</xdr:colOff>
      <xdr:row>11</xdr:row>
      <xdr:rowOff>114300</xdr:rowOff>
    </xdr:from>
    <xdr:to>
      <xdr:col>19</xdr:col>
      <xdr:colOff>15240</xdr:colOff>
      <xdr:row>19</xdr:row>
      <xdr:rowOff>137160</xdr:rowOff>
    </xdr:to>
    <xdr:sp macro="" textlink="">
      <xdr:nvSpPr>
        <xdr:cNvPr id="6" name="Rectangle 5">
          <a:extLst>
            <a:ext uri="{FF2B5EF4-FFF2-40B4-BE49-F238E27FC236}">
              <a16:creationId xmlns:a16="http://schemas.microsoft.com/office/drawing/2014/main" id="{7344EEBE-99F5-49AA-8284-C48308ADAF16}"/>
            </a:ext>
          </a:extLst>
        </xdr:cNvPr>
        <xdr:cNvSpPr/>
      </xdr:nvSpPr>
      <xdr:spPr>
        <a:xfrm>
          <a:off x="6805144" y="2125980"/>
          <a:ext cx="4792496" cy="1485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99060</xdr:colOff>
      <xdr:row>20</xdr:row>
      <xdr:rowOff>22860</xdr:rowOff>
    </xdr:from>
    <xdr:to>
      <xdr:col>19</xdr:col>
      <xdr:colOff>83820</xdr:colOff>
      <xdr:row>27</xdr:row>
      <xdr:rowOff>83820</xdr:rowOff>
    </xdr:to>
    <xdr:sp macro="" textlink="">
      <xdr:nvSpPr>
        <xdr:cNvPr id="7" name="Rectangle 6">
          <a:extLst>
            <a:ext uri="{FF2B5EF4-FFF2-40B4-BE49-F238E27FC236}">
              <a16:creationId xmlns:a16="http://schemas.microsoft.com/office/drawing/2014/main" id="{93052F39-9C47-4775-AE89-9B7252824745}"/>
            </a:ext>
          </a:extLst>
        </xdr:cNvPr>
        <xdr:cNvSpPr/>
      </xdr:nvSpPr>
      <xdr:spPr>
        <a:xfrm>
          <a:off x="6804660" y="3680460"/>
          <a:ext cx="4861560" cy="13411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244324</xdr:colOff>
      <xdr:row>14</xdr:row>
      <xdr:rowOff>15240</xdr:rowOff>
    </xdr:from>
    <xdr:to>
      <xdr:col>10</xdr:col>
      <xdr:colOff>457200</xdr:colOff>
      <xdr:row>26</xdr:row>
      <xdr:rowOff>114300</xdr:rowOff>
    </xdr:to>
    <xdr:sp macro="" textlink="">
      <xdr:nvSpPr>
        <xdr:cNvPr id="8" name="Rectangle 7">
          <a:extLst>
            <a:ext uri="{FF2B5EF4-FFF2-40B4-BE49-F238E27FC236}">
              <a16:creationId xmlns:a16="http://schemas.microsoft.com/office/drawing/2014/main" id="{6B5E84EC-6923-471C-A921-5472A5B3295D}"/>
            </a:ext>
          </a:extLst>
        </xdr:cNvPr>
        <xdr:cNvSpPr/>
      </xdr:nvSpPr>
      <xdr:spPr>
        <a:xfrm>
          <a:off x="2073124" y="2575560"/>
          <a:ext cx="4480076" cy="22936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320040</xdr:colOff>
      <xdr:row>12</xdr:row>
      <xdr:rowOff>7620</xdr:rowOff>
    </xdr:from>
    <xdr:to>
      <xdr:col>14</xdr:col>
      <xdr:colOff>449580</xdr:colOff>
      <xdr:row>13</xdr:row>
      <xdr:rowOff>106680</xdr:rowOff>
    </xdr:to>
    <xdr:sp macro="" textlink="">
      <xdr:nvSpPr>
        <xdr:cNvPr id="9" name="TextBox 8">
          <a:extLst>
            <a:ext uri="{FF2B5EF4-FFF2-40B4-BE49-F238E27FC236}">
              <a16:creationId xmlns:a16="http://schemas.microsoft.com/office/drawing/2014/main" id="{27C6BF97-EBC6-46E7-B8D7-49624FD0B62E}"/>
            </a:ext>
          </a:extLst>
        </xdr:cNvPr>
        <xdr:cNvSpPr txBox="1"/>
      </xdr:nvSpPr>
      <xdr:spPr>
        <a:xfrm>
          <a:off x="7025640" y="2202180"/>
          <a:ext cx="195834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Top</a:t>
          </a:r>
          <a:r>
            <a:rPr lang="en-IN" sz="1100" baseline="0"/>
            <a:t> performing 3 Salesman</a:t>
          </a:r>
          <a:endParaRPr lang="en-IN" sz="1100"/>
        </a:p>
      </xdr:txBody>
    </xdr:sp>
    <xdr:clientData/>
  </xdr:twoCellAnchor>
  <xdr:twoCellAnchor>
    <xdr:from>
      <xdr:col>11</xdr:col>
      <xdr:colOff>251460</xdr:colOff>
      <xdr:row>20</xdr:row>
      <xdr:rowOff>53340</xdr:rowOff>
    </xdr:from>
    <xdr:to>
      <xdr:col>14</xdr:col>
      <xdr:colOff>350520</xdr:colOff>
      <xdr:row>22</xdr:row>
      <xdr:rowOff>76200</xdr:rowOff>
    </xdr:to>
    <xdr:sp macro="" textlink="">
      <xdr:nvSpPr>
        <xdr:cNvPr id="10" name="TextBox 9">
          <a:extLst>
            <a:ext uri="{FF2B5EF4-FFF2-40B4-BE49-F238E27FC236}">
              <a16:creationId xmlns:a16="http://schemas.microsoft.com/office/drawing/2014/main" id="{505D8687-F57D-46C5-AA3B-702583A10EB1}"/>
            </a:ext>
          </a:extLst>
        </xdr:cNvPr>
        <xdr:cNvSpPr txBox="1"/>
      </xdr:nvSpPr>
      <xdr:spPr>
        <a:xfrm>
          <a:off x="6957060" y="3710940"/>
          <a:ext cx="192786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Poor performing 3 salesman</a:t>
          </a:r>
          <a:endParaRPr lang="en-IN" sz="1100"/>
        </a:p>
      </xdr:txBody>
    </xdr:sp>
    <xdr:clientData/>
  </xdr:twoCellAnchor>
  <xdr:twoCellAnchor>
    <xdr:from>
      <xdr:col>0</xdr:col>
      <xdr:colOff>533400</xdr:colOff>
      <xdr:row>8</xdr:row>
      <xdr:rowOff>83820</xdr:rowOff>
    </xdr:from>
    <xdr:to>
      <xdr:col>2</xdr:col>
      <xdr:colOff>342900</xdr:colOff>
      <xdr:row>10</xdr:row>
      <xdr:rowOff>53340</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988E35AC-9E14-4435-BC14-31C49E6ACA16}"/>
            </a:ext>
          </a:extLst>
        </xdr:cNvPr>
        <xdr:cNvSpPr/>
      </xdr:nvSpPr>
      <xdr:spPr>
        <a:xfrm>
          <a:off x="533400" y="1546860"/>
          <a:ext cx="1028700" cy="33528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a:ln>
                <a:solidFill>
                  <a:sysClr val="windowText" lastClr="000000"/>
                </a:solidFill>
              </a:ln>
              <a:solidFill>
                <a:schemeClr val="tx1"/>
              </a:solidFill>
            </a:rPr>
            <a:t>PRODUCTS</a:t>
          </a:r>
        </a:p>
      </xdr:txBody>
    </xdr:sp>
    <xdr:clientData/>
  </xdr:twoCellAnchor>
  <xdr:twoCellAnchor>
    <xdr:from>
      <xdr:col>0</xdr:col>
      <xdr:colOff>518160</xdr:colOff>
      <xdr:row>5</xdr:row>
      <xdr:rowOff>137160</xdr:rowOff>
    </xdr:from>
    <xdr:to>
      <xdr:col>2</xdr:col>
      <xdr:colOff>304800</xdr:colOff>
      <xdr:row>8</xdr:row>
      <xdr:rowOff>38100</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2AC785F0-B010-415E-93B5-74CBF3B9C481}"/>
            </a:ext>
          </a:extLst>
        </xdr:cNvPr>
        <xdr:cNvSpPr/>
      </xdr:nvSpPr>
      <xdr:spPr>
        <a:xfrm>
          <a:off x="518160" y="1051560"/>
          <a:ext cx="1005840" cy="4495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b="0" cap="none" spc="0">
              <a:ln w="0">
                <a:solidFill>
                  <a:schemeClr val="tx1"/>
                </a:solidFill>
              </a:ln>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0</xdr:col>
      <xdr:colOff>541020</xdr:colOff>
      <xdr:row>11</xdr:row>
      <xdr:rowOff>30480</xdr:rowOff>
    </xdr:from>
    <xdr:to>
      <xdr:col>2</xdr:col>
      <xdr:colOff>342900</xdr:colOff>
      <xdr:row>12</xdr:row>
      <xdr:rowOff>167640</xdr:rowOff>
    </xdr:to>
    <xdr:sp macro="" textlink="">
      <xdr:nvSpPr>
        <xdr:cNvPr id="13" name="Rectangle: Rounded Corners 12">
          <a:extLst>
            <a:ext uri="{FF2B5EF4-FFF2-40B4-BE49-F238E27FC236}">
              <a16:creationId xmlns:a16="http://schemas.microsoft.com/office/drawing/2014/main" id="{B41CA9EA-D974-4509-8535-FCB580F43D8D}"/>
            </a:ext>
          </a:extLst>
        </xdr:cNvPr>
        <xdr:cNvSpPr/>
      </xdr:nvSpPr>
      <xdr:spPr>
        <a:xfrm>
          <a:off x="541020" y="2042160"/>
          <a:ext cx="1021080" cy="32004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sz="1400">
              <a:ln>
                <a:solidFill>
                  <a:schemeClr val="tx1"/>
                </a:solidFill>
              </a:ln>
              <a:solidFill>
                <a:schemeClr val="tx1"/>
              </a:solidFill>
            </a:rPr>
            <a:t>Sales</a:t>
          </a:r>
          <a:r>
            <a:rPr lang="en-IN" sz="1400" baseline="0">
              <a:ln>
                <a:solidFill>
                  <a:schemeClr val="tx1"/>
                </a:solidFill>
              </a:ln>
              <a:solidFill>
                <a:schemeClr val="tx1"/>
              </a:solidFill>
            </a:rPr>
            <a:t> man</a:t>
          </a:r>
          <a:endParaRPr lang="en-IN" sz="1400">
            <a:ln>
              <a:solidFill>
                <a:schemeClr val="tx1"/>
              </a:solidFill>
            </a:ln>
            <a:solidFill>
              <a:schemeClr val="tx1"/>
            </a:solidFill>
          </a:endParaRPr>
        </a:p>
      </xdr:txBody>
    </xdr:sp>
    <xdr:clientData/>
  </xdr:twoCellAnchor>
  <xdr:twoCellAnchor>
    <xdr:from>
      <xdr:col>0</xdr:col>
      <xdr:colOff>548640</xdr:colOff>
      <xdr:row>13</xdr:row>
      <xdr:rowOff>167640</xdr:rowOff>
    </xdr:from>
    <xdr:to>
      <xdr:col>2</xdr:col>
      <xdr:colOff>335280</xdr:colOff>
      <xdr:row>15</xdr:row>
      <xdr:rowOff>129540</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C898D18F-B8F6-4D2C-9366-660AADEB32C0}"/>
            </a:ext>
          </a:extLst>
        </xdr:cNvPr>
        <xdr:cNvSpPr/>
      </xdr:nvSpPr>
      <xdr:spPr>
        <a:xfrm>
          <a:off x="548640" y="2545080"/>
          <a:ext cx="1005840" cy="32766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sz="1400">
              <a:solidFill>
                <a:srgbClr val="002060"/>
              </a:solidFill>
            </a:rPr>
            <a:t>About</a:t>
          </a:r>
          <a:r>
            <a:rPr lang="en-IN" sz="1400" baseline="0">
              <a:solidFill>
                <a:srgbClr val="002060"/>
              </a:solidFill>
            </a:rPr>
            <a:t> us</a:t>
          </a:r>
          <a:endParaRPr lang="en-IN" sz="1400">
            <a:solidFill>
              <a:srgbClr val="002060"/>
            </a:solidFill>
          </a:endParaRPr>
        </a:p>
      </xdr:txBody>
    </xdr:sp>
    <xdr:clientData/>
  </xdr:twoCellAnchor>
  <xdr:twoCellAnchor editAs="oneCell">
    <xdr:from>
      <xdr:col>13</xdr:col>
      <xdr:colOff>198120</xdr:colOff>
      <xdr:row>2</xdr:row>
      <xdr:rowOff>45720</xdr:rowOff>
    </xdr:from>
    <xdr:to>
      <xdr:col>19</xdr:col>
      <xdr:colOff>198120</xdr:colOff>
      <xdr:row>6</xdr:row>
      <xdr:rowOff>60960</xdr:rowOff>
    </xdr:to>
    <mc:AlternateContent xmlns:mc="http://schemas.openxmlformats.org/markup-compatibility/2006" xmlns:a14="http://schemas.microsoft.com/office/drawing/2010/main">
      <mc:Choice Requires="a14">
        <xdr:graphicFrame macro="">
          <xdr:nvGraphicFramePr>
            <xdr:cNvPr id="15" name="Region 3">
              <a:extLst>
                <a:ext uri="{FF2B5EF4-FFF2-40B4-BE49-F238E27FC236}">
                  <a16:creationId xmlns:a16="http://schemas.microsoft.com/office/drawing/2014/main" id="{04105DB6-F949-4472-91BE-940A09FC068D}"/>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915400" y="396240"/>
              <a:ext cx="402336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1</xdr:row>
      <xdr:rowOff>160021</xdr:rowOff>
    </xdr:from>
    <xdr:to>
      <xdr:col>11</xdr:col>
      <xdr:colOff>525780</xdr:colOff>
      <xdr:row>6</xdr:row>
      <xdr:rowOff>121921</xdr:rowOff>
    </xdr:to>
    <mc:AlternateContent xmlns:mc="http://schemas.openxmlformats.org/markup-compatibility/2006" xmlns:a14="http://schemas.microsoft.com/office/drawing/2010/main">
      <mc:Choice Requires="a14">
        <xdr:graphicFrame macro="">
          <xdr:nvGraphicFramePr>
            <xdr:cNvPr id="16" name="Date 3">
              <a:extLst>
                <a:ext uri="{FF2B5EF4-FFF2-40B4-BE49-F238E27FC236}">
                  <a16:creationId xmlns:a16="http://schemas.microsoft.com/office/drawing/2014/main" id="{00C7B7DE-2512-483F-A000-54F2234B70F4}"/>
                </a:ext>
              </a:extLst>
            </xdr:cNvPr>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mlns="">
        <xdr:sp macro="" textlink="">
          <xdr:nvSpPr>
            <xdr:cNvPr id="0" name=""/>
            <xdr:cNvSpPr>
              <a:spLocks noTextEdit="1"/>
            </xdr:cNvSpPr>
          </xdr:nvSpPr>
          <xdr:spPr>
            <a:xfrm>
              <a:off x="2392680" y="335281"/>
              <a:ext cx="550926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7</xdr:row>
      <xdr:rowOff>99060</xdr:rowOff>
    </xdr:from>
    <xdr:to>
      <xdr:col>16</xdr:col>
      <xdr:colOff>236220</xdr:colOff>
      <xdr:row>10</xdr:row>
      <xdr:rowOff>152400</xdr:rowOff>
    </xdr:to>
    <mc:AlternateContent xmlns:mc="http://schemas.openxmlformats.org/markup-compatibility/2006" xmlns:a14="http://schemas.microsoft.com/office/drawing/2010/main">
      <mc:Choice Requires="a14">
        <xdr:graphicFrame macro="">
          <xdr:nvGraphicFramePr>
            <xdr:cNvPr id="17" name="Item 3">
              <a:extLst>
                <a:ext uri="{FF2B5EF4-FFF2-40B4-BE49-F238E27FC236}">
                  <a16:creationId xmlns:a16="http://schemas.microsoft.com/office/drawing/2014/main" id="{0D8543B1-7699-424C-96E4-DBA13252A4B9}"/>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354580" y="1325880"/>
              <a:ext cx="861060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335280</xdr:colOff>
      <xdr:row>21</xdr:row>
      <xdr:rowOff>99060</xdr:rowOff>
    </xdr:from>
    <xdr:to>
      <xdr:col>18</xdr:col>
      <xdr:colOff>403860</xdr:colOff>
      <xdr:row>26</xdr:row>
      <xdr:rowOff>114300</xdr:rowOff>
    </xdr:to>
    <xdr:graphicFrame macro="">
      <xdr:nvGraphicFramePr>
        <xdr:cNvPr id="22" name="Chart 21">
          <a:extLst>
            <a:ext uri="{FF2B5EF4-FFF2-40B4-BE49-F238E27FC236}">
              <a16:creationId xmlns:a16="http://schemas.microsoft.com/office/drawing/2014/main" id="{EC3F2586-1AD4-467D-8E59-188344CCC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267184</xdr:colOff>
      <xdr:row>13</xdr:row>
      <xdr:rowOff>152400</xdr:rowOff>
    </xdr:from>
    <xdr:to>
      <xdr:col>18</xdr:col>
      <xdr:colOff>449580</xdr:colOff>
      <xdr:row>19</xdr:row>
      <xdr:rowOff>7620</xdr:rowOff>
    </xdr:to>
    <xdr:graphicFrame macro="">
      <xdr:nvGraphicFramePr>
        <xdr:cNvPr id="23" name="Chart 22">
          <a:extLst>
            <a:ext uri="{FF2B5EF4-FFF2-40B4-BE49-F238E27FC236}">
              <a16:creationId xmlns:a16="http://schemas.microsoft.com/office/drawing/2014/main" id="{CAF14B4E-5ADC-4853-A70B-22CCAC845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403860</xdr:colOff>
      <xdr:row>15</xdr:row>
      <xdr:rowOff>137160</xdr:rowOff>
    </xdr:from>
    <xdr:to>
      <xdr:col>10</xdr:col>
      <xdr:colOff>99060</xdr:colOff>
      <xdr:row>25</xdr:row>
      <xdr:rowOff>76200</xdr:rowOff>
    </xdr:to>
    <xdr:graphicFrame macro="">
      <xdr:nvGraphicFramePr>
        <xdr:cNvPr id="24" name="Chart 23">
          <a:extLst>
            <a:ext uri="{FF2B5EF4-FFF2-40B4-BE49-F238E27FC236}">
              <a16:creationId xmlns:a16="http://schemas.microsoft.com/office/drawing/2014/main" id="{CDD2C29E-05DE-4EA0-980D-05773DA7A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0.00769</cdr:x>
      <cdr:y>0.00431</cdr:y>
    </cdr:from>
    <cdr:to>
      <cdr:x>0.53654</cdr:x>
      <cdr:y>0.20955</cdr:y>
    </cdr:to>
    <cdr:pic>
      <cdr:nvPicPr>
        <cdr:cNvPr id="2" name="chart">
          <a:extLst xmlns:a="http://schemas.openxmlformats.org/drawingml/2006/main">
            <a:ext uri="{FF2B5EF4-FFF2-40B4-BE49-F238E27FC236}">
              <a16:creationId xmlns:a16="http://schemas.microsoft.com/office/drawing/2014/main" id="{759E5FE0-B384-329B-2715-DABE8D0551D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480" y="7620"/>
          <a:ext cx="2095500" cy="362824"/>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548640</xdr:colOff>
      <xdr:row>30</xdr:row>
      <xdr:rowOff>45720</xdr:rowOff>
    </xdr:to>
    <xdr:sp macro="" textlink="">
      <xdr:nvSpPr>
        <xdr:cNvPr id="2" name="Rectangle: Rounded Corners 1">
          <a:extLst>
            <a:ext uri="{FF2B5EF4-FFF2-40B4-BE49-F238E27FC236}">
              <a16:creationId xmlns:a16="http://schemas.microsoft.com/office/drawing/2014/main" id="{497747EF-5C7D-457F-A363-B908B38EFAB5}"/>
            </a:ext>
          </a:extLst>
        </xdr:cNvPr>
        <xdr:cNvSpPr/>
      </xdr:nvSpPr>
      <xdr:spPr>
        <a:xfrm>
          <a:off x="0" y="0"/>
          <a:ext cx="13959840" cy="5303520"/>
        </a:xfrm>
        <a:prstGeom prst="roundRect">
          <a:avLst>
            <a:gd name="adj" fmla="val 69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410466</xdr:colOff>
      <xdr:row>0</xdr:row>
      <xdr:rowOff>121920</xdr:rowOff>
    </xdr:from>
    <xdr:to>
      <xdr:col>20</xdr:col>
      <xdr:colOff>335280</xdr:colOff>
      <xdr:row>28</xdr:row>
      <xdr:rowOff>53340</xdr:rowOff>
    </xdr:to>
    <xdr:sp macro="" textlink="">
      <xdr:nvSpPr>
        <xdr:cNvPr id="3" name="Rectangle: Rounded Corners 2">
          <a:extLst>
            <a:ext uri="{FF2B5EF4-FFF2-40B4-BE49-F238E27FC236}">
              <a16:creationId xmlns:a16="http://schemas.microsoft.com/office/drawing/2014/main" id="{EA7EFDCE-4A32-4B15-9D96-E4D1B221E708}"/>
            </a:ext>
          </a:extLst>
        </xdr:cNvPr>
        <xdr:cNvSpPr/>
      </xdr:nvSpPr>
      <xdr:spPr>
        <a:xfrm>
          <a:off x="1629666" y="121920"/>
          <a:ext cx="10897614" cy="5052060"/>
        </a:xfrm>
        <a:prstGeom prst="roundRect">
          <a:avLst>
            <a:gd name="adj" fmla="val 6979"/>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281940</xdr:colOff>
      <xdr:row>10</xdr:row>
      <xdr:rowOff>114300</xdr:rowOff>
    </xdr:from>
    <xdr:to>
      <xdr:col>4</xdr:col>
      <xdr:colOff>312420</xdr:colOff>
      <xdr:row>14</xdr:row>
      <xdr:rowOff>114300</xdr:rowOff>
    </xdr:to>
    <xdr:pic>
      <xdr:nvPicPr>
        <xdr:cNvPr id="4" name="Picture 3">
          <a:extLst>
            <a:ext uri="{FF2B5EF4-FFF2-40B4-BE49-F238E27FC236}">
              <a16:creationId xmlns:a16="http://schemas.microsoft.com/office/drawing/2014/main" id="{282E24EF-D445-42AA-93E0-A01B26BA1C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740" y="1943100"/>
          <a:ext cx="701040" cy="701040"/>
        </a:xfrm>
        <a:prstGeom prst="rect">
          <a:avLst/>
        </a:prstGeom>
      </xdr:spPr>
    </xdr:pic>
    <xdr:clientData/>
  </xdr:twoCellAnchor>
  <xdr:twoCellAnchor>
    <xdr:from>
      <xdr:col>4</xdr:col>
      <xdr:colOff>320040</xdr:colOff>
      <xdr:row>11</xdr:row>
      <xdr:rowOff>121920</xdr:rowOff>
    </xdr:from>
    <xdr:to>
      <xdr:col>6</xdr:col>
      <xdr:colOff>45720</xdr:colOff>
      <xdr:row>13</xdr:row>
      <xdr:rowOff>68580</xdr:rowOff>
    </xdr:to>
    <xdr:sp macro="" textlink="">
      <xdr:nvSpPr>
        <xdr:cNvPr id="5" name="Rectangle: Rounded Corners 4">
          <a:extLst>
            <a:ext uri="{FF2B5EF4-FFF2-40B4-BE49-F238E27FC236}">
              <a16:creationId xmlns:a16="http://schemas.microsoft.com/office/drawing/2014/main" id="{60BB3099-60E1-491B-AE24-550CB3F49CD8}"/>
            </a:ext>
          </a:extLst>
        </xdr:cNvPr>
        <xdr:cNvSpPr/>
      </xdr:nvSpPr>
      <xdr:spPr>
        <a:xfrm>
          <a:off x="2758440" y="2133600"/>
          <a:ext cx="944880" cy="3124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Analytics</a:t>
          </a:r>
        </a:p>
      </xdr:txBody>
    </xdr:sp>
    <xdr:clientData/>
  </xdr:twoCellAnchor>
  <xdr:twoCellAnchor>
    <xdr:from>
      <xdr:col>11</xdr:col>
      <xdr:colOff>99544</xdr:colOff>
      <xdr:row>11</xdr:row>
      <xdr:rowOff>114300</xdr:rowOff>
    </xdr:from>
    <xdr:to>
      <xdr:col>19</xdr:col>
      <xdr:colOff>15240</xdr:colOff>
      <xdr:row>19</xdr:row>
      <xdr:rowOff>137160</xdr:rowOff>
    </xdr:to>
    <xdr:sp macro="" textlink="">
      <xdr:nvSpPr>
        <xdr:cNvPr id="7" name="Rectangle 6">
          <a:extLst>
            <a:ext uri="{FF2B5EF4-FFF2-40B4-BE49-F238E27FC236}">
              <a16:creationId xmlns:a16="http://schemas.microsoft.com/office/drawing/2014/main" id="{4742226C-376A-484F-8AB0-C863172B3823}"/>
            </a:ext>
          </a:extLst>
        </xdr:cNvPr>
        <xdr:cNvSpPr/>
      </xdr:nvSpPr>
      <xdr:spPr>
        <a:xfrm>
          <a:off x="6805144" y="2125980"/>
          <a:ext cx="4792496" cy="1485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99060</xdr:colOff>
      <xdr:row>20</xdr:row>
      <xdr:rowOff>22860</xdr:rowOff>
    </xdr:from>
    <xdr:to>
      <xdr:col>19</xdr:col>
      <xdr:colOff>83820</xdr:colOff>
      <xdr:row>27</xdr:row>
      <xdr:rowOff>83820</xdr:rowOff>
    </xdr:to>
    <xdr:sp macro="" textlink="">
      <xdr:nvSpPr>
        <xdr:cNvPr id="9" name="Rectangle 8">
          <a:extLst>
            <a:ext uri="{FF2B5EF4-FFF2-40B4-BE49-F238E27FC236}">
              <a16:creationId xmlns:a16="http://schemas.microsoft.com/office/drawing/2014/main" id="{80755542-3721-4FB4-B8A0-09B10B331489}"/>
            </a:ext>
          </a:extLst>
        </xdr:cNvPr>
        <xdr:cNvSpPr/>
      </xdr:nvSpPr>
      <xdr:spPr>
        <a:xfrm>
          <a:off x="6804660" y="3680460"/>
          <a:ext cx="4861560" cy="13411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244324</xdr:colOff>
      <xdr:row>14</xdr:row>
      <xdr:rowOff>15240</xdr:rowOff>
    </xdr:from>
    <xdr:to>
      <xdr:col>10</xdr:col>
      <xdr:colOff>457200</xdr:colOff>
      <xdr:row>26</xdr:row>
      <xdr:rowOff>114300</xdr:rowOff>
    </xdr:to>
    <xdr:sp macro="" textlink="">
      <xdr:nvSpPr>
        <xdr:cNvPr id="10" name="Rectangle 9">
          <a:extLst>
            <a:ext uri="{FF2B5EF4-FFF2-40B4-BE49-F238E27FC236}">
              <a16:creationId xmlns:a16="http://schemas.microsoft.com/office/drawing/2014/main" id="{C535F328-CC75-44D6-9098-95F0AFCC79C7}"/>
            </a:ext>
          </a:extLst>
        </xdr:cNvPr>
        <xdr:cNvSpPr/>
      </xdr:nvSpPr>
      <xdr:spPr>
        <a:xfrm>
          <a:off x="2073124" y="2575560"/>
          <a:ext cx="4480076" cy="22936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320040</xdr:colOff>
      <xdr:row>12</xdr:row>
      <xdr:rowOff>7620</xdr:rowOff>
    </xdr:from>
    <xdr:to>
      <xdr:col>14</xdr:col>
      <xdr:colOff>449580</xdr:colOff>
      <xdr:row>13</xdr:row>
      <xdr:rowOff>106680</xdr:rowOff>
    </xdr:to>
    <xdr:sp macro="" textlink="">
      <xdr:nvSpPr>
        <xdr:cNvPr id="15" name="TextBox 14">
          <a:extLst>
            <a:ext uri="{FF2B5EF4-FFF2-40B4-BE49-F238E27FC236}">
              <a16:creationId xmlns:a16="http://schemas.microsoft.com/office/drawing/2014/main" id="{C954E3A8-11AB-4612-8595-1E69780BF366}"/>
            </a:ext>
          </a:extLst>
        </xdr:cNvPr>
        <xdr:cNvSpPr txBox="1"/>
      </xdr:nvSpPr>
      <xdr:spPr>
        <a:xfrm>
          <a:off x="7025640" y="2202180"/>
          <a:ext cx="195834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Top</a:t>
          </a:r>
          <a:r>
            <a:rPr lang="en-IN" sz="1100" baseline="0"/>
            <a:t> 3 selling products</a:t>
          </a:r>
          <a:endParaRPr lang="en-IN" sz="1100"/>
        </a:p>
      </xdr:txBody>
    </xdr:sp>
    <xdr:clientData/>
  </xdr:twoCellAnchor>
  <xdr:twoCellAnchor>
    <xdr:from>
      <xdr:col>11</xdr:col>
      <xdr:colOff>251460</xdr:colOff>
      <xdr:row>20</xdr:row>
      <xdr:rowOff>53340</xdr:rowOff>
    </xdr:from>
    <xdr:to>
      <xdr:col>14</xdr:col>
      <xdr:colOff>350520</xdr:colOff>
      <xdr:row>22</xdr:row>
      <xdr:rowOff>76200</xdr:rowOff>
    </xdr:to>
    <xdr:sp macro="" textlink="">
      <xdr:nvSpPr>
        <xdr:cNvPr id="16" name="TextBox 15">
          <a:extLst>
            <a:ext uri="{FF2B5EF4-FFF2-40B4-BE49-F238E27FC236}">
              <a16:creationId xmlns:a16="http://schemas.microsoft.com/office/drawing/2014/main" id="{7376556D-6F32-4933-9323-B4785979CD63}"/>
            </a:ext>
          </a:extLst>
        </xdr:cNvPr>
        <xdr:cNvSpPr txBox="1"/>
      </xdr:nvSpPr>
      <xdr:spPr>
        <a:xfrm>
          <a:off x="6957060" y="3710940"/>
          <a:ext cx="192786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t> Top 3 less selling products</a:t>
          </a:r>
          <a:endParaRPr lang="en-IN" sz="1100"/>
        </a:p>
      </xdr:txBody>
    </xdr:sp>
    <xdr:clientData/>
  </xdr:twoCellAnchor>
  <xdr:twoCellAnchor>
    <xdr:from>
      <xdr:col>0</xdr:col>
      <xdr:colOff>579120</xdr:colOff>
      <xdr:row>7</xdr:row>
      <xdr:rowOff>121920</xdr:rowOff>
    </xdr:from>
    <xdr:to>
      <xdr:col>2</xdr:col>
      <xdr:colOff>388620</xdr:colOff>
      <xdr:row>9</xdr:row>
      <xdr:rowOff>91440</xdr:rowOff>
    </xdr:to>
    <xdr:sp macro="" textlink="">
      <xdr:nvSpPr>
        <xdr:cNvPr id="17" name="Rectangle: Rounded Corners 16">
          <a:extLst>
            <a:ext uri="{FF2B5EF4-FFF2-40B4-BE49-F238E27FC236}">
              <a16:creationId xmlns:a16="http://schemas.microsoft.com/office/drawing/2014/main" id="{EBB0D8E6-011F-4891-81B0-57136BA3A0E5}"/>
            </a:ext>
          </a:extLst>
        </xdr:cNvPr>
        <xdr:cNvSpPr/>
      </xdr:nvSpPr>
      <xdr:spPr>
        <a:xfrm>
          <a:off x="579120" y="1348740"/>
          <a:ext cx="1150620" cy="32004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a:ln>
                <a:solidFill>
                  <a:sysClr val="windowText" lastClr="000000"/>
                </a:solidFill>
              </a:ln>
              <a:solidFill>
                <a:schemeClr val="tx1"/>
              </a:solidFill>
            </a:rPr>
            <a:t>PRODUCTS</a:t>
          </a:r>
        </a:p>
      </xdr:txBody>
    </xdr:sp>
    <xdr:clientData/>
  </xdr:twoCellAnchor>
  <xdr:twoCellAnchor>
    <xdr:from>
      <xdr:col>0</xdr:col>
      <xdr:colOff>579120</xdr:colOff>
      <xdr:row>4</xdr:row>
      <xdr:rowOff>129540</xdr:rowOff>
    </xdr:from>
    <xdr:to>
      <xdr:col>2</xdr:col>
      <xdr:colOff>396240</xdr:colOff>
      <xdr:row>6</xdr:row>
      <xdr:rowOff>167640</xdr:rowOff>
    </xdr:to>
    <xdr:sp macro="" textlink="">
      <xdr:nvSpPr>
        <xdr:cNvPr id="18" name="Rectangle: Rounded Corners 17">
          <a:extLst>
            <a:ext uri="{FF2B5EF4-FFF2-40B4-BE49-F238E27FC236}">
              <a16:creationId xmlns:a16="http://schemas.microsoft.com/office/drawing/2014/main" id="{90A97048-A609-4301-A618-71A6AEF674F4}"/>
            </a:ext>
          </a:extLst>
        </xdr:cNvPr>
        <xdr:cNvSpPr/>
      </xdr:nvSpPr>
      <xdr:spPr>
        <a:xfrm>
          <a:off x="579120" y="830580"/>
          <a:ext cx="1158240" cy="38862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b="0" cap="none" spc="0">
              <a:ln w="0">
                <a:solidFill>
                  <a:schemeClr val="tx1"/>
                </a:solidFill>
              </a:ln>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0</xdr:col>
      <xdr:colOff>533400</xdr:colOff>
      <xdr:row>11</xdr:row>
      <xdr:rowOff>38100</xdr:rowOff>
    </xdr:from>
    <xdr:to>
      <xdr:col>2</xdr:col>
      <xdr:colOff>411480</xdr:colOff>
      <xdr:row>12</xdr:row>
      <xdr:rowOff>175260</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A6A3CD39-9F6A-4123-8AFC-B4181B65C9D7}"/>
            </a:ext>
          </a:extLst>
        </xdr:cNvPr>
        <xdr:cNvSpPr/>
      </xdr:nvSpPr>
      <xdr:spPr>
        <a:xfrm>
          <a:off x="533400" y="2049780"/>
          <a:ext cx="1097280" cy="32004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sz="1400">
              <a:ln>
                <a:solidFill>
                  <a:schemeClr val="tx1"/>
                </a:solidFill>
              </a:ln>
              <a:solidFill>
                <a:schemeClr val="tx1"/>
              </a:solidFill>
            </a:rPr>
            <a:t>Sales</a:t>
          </a:r>
          <a:r>
            <a:rPr lang="en-IN" sz="1400" baseline="0">
              <a:ln>
                <a:solidFill>
                  <a:schemeClr val="tx1"/>
                </a:solidFill>
              </a:ln>
              <a:solidFill>
                <a:schemeClr val="tx1"/>
              </a:solidFill>
            </a:rPr>
            <a:t> man</a:t>
          </a:r>
          <a:endParaRPr lang="en-IN" sz="1400">
            <a:ln>
              <a:solidFill>
                <a:schemeClr val="tx1"/>
              </a:solidFill>
            </a:ln>
            <a:solidFill>
              <a:schemeClr val="tx1"/>
            </a:solidFill>
          </a:endParaRPr>
        </a:p>
      </xdr:txBody>
    </xdr:sp>
    <xdr:clientData/>
  </xdr:twoCellAnchor>
  <xdr:twoCellAnchor>
    <xdr:from>
      <xdr:col>0</xdr:col>
      <xdr:colOff>548640</xdr:colOff>
      <xdr:row>13</xdr:row>
      <xdr:rowOff>167640</xdr:rowOff>
    </xdr:from>
    <xdr:to>
      <xdr:col>2</xdr:col>
      <xdr:colOff>335280</xdr:colOff>
      <xdr:row>15</xdr:row>
      <xdr:rowOff>129540</xdr:rowOff>
    </xdr:to>
    <xdr:sp macro="" textlink="">
      <xdr:nvSpPr>
        <xdr:cNvPr id="20" name="Rectangle: Rounded Corners 19">
          <a:extLst>
            <a:ext uri="{FF2B5EF4-FFF2-40B4-BE49-F238E27FC236}">
              <a16:creationId xmlns:a16="http://schemas.microsoft.com/office/drawing/2014/main" id="{0F3B6494-4635-4525-BA17-CC90A48EFF8D}"/>
            </a:ext>
          </a:extLst>
        </xdr:cNvPr>
        <xdr:cNvSpPr/>
      </xdr:nvSpPr>
      <xdr:spPr>
        <a:xfrm>
          <a:off x="548640" y="2545080"/>
          <a:ext cx="1005840" cy="32766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sz="1400">
              <a:solidFill>
                <a:srgbClr val="002060"/>
              </a:solidFill>
            </a:rPr>
            <a:t>About</a:t>
          </a:r>
          <a:r>
            <a:rPr lang="en-IN" sz="1400" baseline="0">
              <a:solidFill>
                <a:srgbClr val="002060"/>
              </a:solidFill>
            </a:rPr>
            <a:t> us</a:t>
          </a:r>
          <a:endParaRPr lang="en-IN" sz="1400">
            <a:solidFill>
              <a:srgbClr val="002060"/>
            </a:solidFill>
          </a:endParaRPr>
        </a:p>
      </xdr:txBody>
    </xdr:sp>
    <xdr:clientData/>
  </xdr:twoCellAnchor>
  <xdr:twoCellAnchor editAs="oneCell">
    <xdr:from>
      <xdr:col>13</xdr:col>
      <xdr:colOff>198120</xdr:colOff>
      <xdr:row>2</xdr:row>
      <xdr:rowOff>45720</xdr:rowOff>
    </xdr:from>
    <xdr:to>
      <xdr:col>19</xdr:col>
      <xdr:colOff>198120</xdr:colOff>
      <xdr:row>6</xdr:row>
      <xdr:rowOff>60960</xdr:rowOff>
    </xdr:to>
    <mc:AlternateContent xmlns:mc="http://schemas.openxmlformats.org/markup-compatibility/2006" xmlns:a14="http://schemas.microsoft.com/office/drawing/2010/main">
      <mc:Choice Requires="a14">
        <xdr:graphicFrame macro="">
          <xdr:nvGraphicFramePr>
            <xdr:cNvPr id="21" name="Region 2">
              <a:extLst>
                <a:ext uri="{FF2B5EF4-FFF2-40B4-BE49-F238E27FC236}">
                  <a16:creationId xmlns:a16="http://schemas.microsoft.com/office/drawing/2014/main" id="{F799E5FC-B5CC-4875-B120-BDE3B650951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915400" y="396240"/>
              <a:ext cx="402336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1</xdr:row>
      <xdr:rowOff>160021</xdr:rowOff>
    </xdr:from>
    <xdr:to>
      <xdr:col>11</xdr:col>
      <xdr:colOff>525780</xdr:colOff>
      <xdr:row>6</xdr:row>
      <xdr:rowOff>121921</xdr:rowOff>
    </xdr:to>
    <mc:AlternateContent xmlns:mc="http://schemas.openxmlformats.org/markup-compatibility/2006" xmlns:a14="http://schemas.microsoft.com/office/drawing/2010/main">
      <mc:Choice Requires="a14">
        <xdr:graphicFrame macro="">
          <xdr:nvGraphicFramePr>
            <xdr:cNvPr id="23" name="Date 2">
              <a:extLst>
                <a:ext uri="{FF2B5EF4-FFF2-40B4-BE49-F238E27FC236}">
                  <a16:creationId xmlns:a16="http://schemas.microsoft.com/office/drawing/2014/main" id="{2111BC6D-1EE1-4DE3-8BD9-F010CC26C679}"/>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2392680" y="335281"/>
              <a:ext cx="550926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342900</xdr:colOff>
      <xdr:row>7</xdr:row>
      <xdr:rowOff>99060</xdr:rowOff>
    </xdr:from>
    <xdr:to>
      <xdr:col>16</xdr:col>
      <xdr:colOff>236220</xdr:colOff>
      <xdr:row>10</xdr:row>
      <xdr:rowOff>152400</xdr:rowOff>
    </xdr:to>
    <mc:AlternateContent xmlns:mc="http://schemas.openxmlformats.org/markup-compatibility/2006" xmlns:a14="http://schemas.microsoft.com/office/drawing/2010/main">
      <mc:Choice Requires="a14">
        <xdr:graphicFrame macro="">
          <xdr:nvGraphicFramePr>
            <xdr:cNvPr id="25" name="Item 2">
              <a:extLst>
                <a:ext uri="{FF2B5EF4-FFF2-40B4-BE49-F238E27FC236}">
                  <a16:creationId xmlns:a16="http://schemas.microsoft.com/office/drawing/2014/main" id="{B780603C-4C0B-4DA8-8089-00FA7E104FF6}"/>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354580" y="1325880"/>
              <a:ext cx="861060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121920</xdr:colOff>
      <xdr:row>14</xdr:row>
      <xdr:rowOff>15240</xdr:rowOff>
    </xdr:from>
    <xdr:to>
      <xdr:col>18</xdr:col>
      <xdr:colOff>419584</xdr:colOff>
      <xdr:row>19</xdr:row>
      <xdr:rowOff>106680</xdr:rowOff>
    </xdr:to>
    <xdr:graphicFrame macro="">
      <xdr:nvGraphicFramePr>
        <xdr:cNvPr id="29" name="Chart 28">
          <a:extLst>
            <a:ext uri="{FF2B5EF4-FFF2-40B4-BE49-F238E27FC236}">
              <a16:creationId xmlns:a16="http://schemas.microsoft.com/office/drawing/2014/main" id="{53CFFD1B-47B1-4E19-B616-C8CA82A6D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274320</xdr:colOff>
      <xdr:row>21</xdr:row>
      <xdr:rowOff>60960</xdr:rowOff>
    </xdr:from>
    <xdr:to>
      <xdr:col>18</xdr:col>
      <xdr:colOff>175260</xdr:colOff>
      <xdr:row>26</xdr:row>
      <xdr:rowOff>68580</xdr:rowOff>
    </xdr:to>
    <xdr:graphicFrame macro="">
      <xdr:nvGraphicFramePr>
        <xdr:cNvPr id="31" name="Chart 30">
          <a:extLst>
            <a:ext uri="{FF2B5EF4-FFF2-40B4-BE49-F238E27FC236}">
              <a16:creationId xmlns:a16="http://schemas.microsoft.com/office/drawing/2014/main" id="{B1E7A612-93AD-43EE-BE6A-D986B8830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15</xdr:row>
      <xdr:rowOff>121920</xdr:rowOff>
    </xdr:from>
    <xdr:to>
      <xdr:col>10</xdr:col>
      <xdr:colOff>198120</xdr:colOff>
      <xdr:row>23</xdr:row>
      <xdr:rowOff>121920</xdr:rowOff>
    </xdr:to>
    <xdr:graphicFrame macro="">
      <xdr:nvGraphicFramePr>
        <xdr:cNvPr id="32" name="Chart 31">
          <a:extLst>
            <a:ext uri="{FF2B5EF4-FFF2-40B4-BE49-F238E27FC236}">
              <a16:creationId xmlns:a16="http://schemas.microsoft.com/office/drawing/2014/main" id="{669780A1-F8D1-494A-8B1E-551F31511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495300</xdr:colOff>
      <xdr:row>0</xdr:row>
      <xdr:rowOff>0</xdr:rowOff>
    </xdr:from>
    <xdr:to>
      <xdr:col>21</xdr:col>
      <xdr:colOff>373380</xdr:colOff>
      <xdr:row>30</xdr:row>
      <xdr:rowOff>45720</xdr:rowOff>
    </xdr:to>
    <xdr:sp macro="" textlink="">
      <xdr:nvSpPr>
        <xdr:cNvPr id="2" name="Rectangle: Rounded Corners 1">
          <a:extLst>
            <a:ext uri="{FF2B5EF4-FFF2-40B4-BE49-F238E27FC236}">
              <a16:creationId xmlns:a16="http://schemas.microsoft.com/office/drawing/2014/main" id="{288BEDB6-5EA3-347D-2070-91E8A4F7451D}"/>
            </a:ext>
          </a:extLst>
        </xdr:cNvPr>
        <xdr:cNvSpPr/>
      </xdr:nvSpPr>
      <xdr:spPr>
        <a:xfrm>
          <a:off x="495300" y="0"/>
          <a:ext cx="12679680" cy="5532120"/>
        </a:xfrm>
        <a:prstGeom prst="roundRect">
          <a:avLst>
            <a:gd name="adj" fmla="val 697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463806</xdr:colOff>
      <xdr:row>0</xdr:row>
      <xdr:rowOff>160020</xdr:rowOff>
    </xdr:from>
    <xdr:to>
      <xdr:col>20</xdr:col>
      <xdr:colOff>388620</xdr:colOff>
      <xdr:row>28</xdr:row>
      <xdr:rowOff>91440</xdr:rowOff>
    </xdr:to>
    <xdr:sp macro="" textlink="">
      <xdr:nvSpPr>
        <xdr:cNvPr id="4" name="Rectangle: Rounded Corners 3">
          <a:extLst>
            <a:ext uri="{FF2B5EF4-FFF2-40B4-BE49-F238E27FC236}">
              <a16:creationId xmlns:a16="http://schemas.microsoft.com/office/drawing/2014/main" id="{EBE4C394-0BA1-4912-B1C7-0ADBF1477BC4}"/>
            </a:ext>
          </a:extLst>
        </xdr:cNvPr>
        <xdr:cNvSpPr/>
      </xdr:nvSpPr>
      <xdr:spPr>
        <a:xfrm>
          <a:off x="1683006" y="160020"/>
          <a:ext cx="10897614" cy="5052060"/>
        </a:xfrm>
        <a:prstGeom prst="roundRect">
          <a:avLst>
            <a:gd name="adj" fmla="val 6979"/>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281940</xdr:colOff>
      <xdr:row>10</xdr:row>
      <xdr:rowOff>114300</xdr:rowOff>
    </xdr:from>
    <xdr:to>
      <xdr:col>4</xdr:col>
      <xdr:colOff>312420</xdr:colOff>
      <xdr:row>14</xdr:row>
      <xdr:rowOff>114300</xdr:rowOff>
    </xdr:to>
    <xdr:pic>
      <xdr:nvPicPr>
        <xdr:cNvPr id="11" name="Picture 10">
          <a:extLst>
            <a:ext uri="{FF2B5EF4-FFF2-40B4-BE49-F238E27FC236}">
              <a16:creationId xmlns:a16="http://schemas.microsoft.com/office/drawing/2014/main" id="{FF8C4940-4CDA-9F67-4936-9CA6EFEE36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10740" y="1943100"/>
          <a:ext cx="701040" cy="701040"/>
        </a:xfrm>
        <a:prstGeom prst="rect">
          <a:avLst/>
        </a:prstGeom>
      </xdr:spPr>
    </xdr:pic>
    <xdr:clientData/>
  </xdr:twoCellAnchor>
  <xdr:twoCellAnchor>
    <xdr:from>
      <xdr:col>4</xdr:col>
      <xdr:colOff>320040</xdr:colOff>
      <xdr:row>11</xdr:row>
      <xdr:rowOff>121920</xdr:rowOff>
    </xdr:from>
    <xdr:to>
      <xdr:col>6</xdr:col>
      <xdr:colOff>45720</xdr:colOff>
      <xdr:row>13</xdr:row>
      <xdr:rowOff>68580</xdr:rowOff>
    </xdr:to>
    <xdr:sp macro="" textlink="">
      <xdr:nvSpPr>
        <xdr:cNvPr id="13" name="Rectangle: Rounded Corners 12">
          <a:extLst>
            <a:ext uri="{FF2B5EF4-FFF2-40B4-BE49-F238E27FC236}">
              <a16:creationId xmlns:a16="http://schemas.microsoft.com/office/drawing/2014/main" id="{24ECC7D9-EA6E-CCF2-A876-87A66AF1A8FE}"/>
            </a:ext>
          </a:extLst>
        </xdr:cNvPr>
        <xdr:cNvSpPr/>
      </xdr:nvSpPr>
      <xdr:spPr>
        <a:xfrm>
          <a:off x="2758440" y="2133600"/>
          <a:ext cx="944880" cy="3124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Analytics</a:t>
          </a:r>
        </a:p>
      </xdr:txBody>
    </xdr:sp>
    <xdr:clientData/>
  </xdr:twoCellAnchor>
  <xdr:twoCellAnchor>
    <xdr:from>
      <xdr:col>3</xdr:col>
      <xdr:colOff>388620</xdr:colOff>
      <xdr:row>14</xdr:row>
      <xdr:rowOff>45720</xdr:rowOff>
    </xdr:from>
    <xdr:to>
      <xdr:col>7</xdr:col>
      <xdr:colOff>0</xdr:colOff>
      <xdr:row>17</xdr:row>
      <xdr:rowOff>91440</xdr:rowOff>
    </xdr:to>
    <xdr:sp macro="" textlink="">
      <xdr:nvSpPr>
        <xdr:cNvPr id="14" name="Rectangle 13">
          <a:extLst>
            <a:ext uri="{FF2B5EF4-FFF2-40B4-BE49-F238E27FC236}">
              <a16:creationId xmlns:a16="http://schemas.microsoft.com/office/drawing/2014/main" id="{06E97122-A0CE-6A13-F4C6-711FD9CBD612}"/>
            </a:ext>
          </a:extLst>
        </xdr:cNvPr>
        <xdr:cNvSpPr/>
      </xdr:nvSpPr>
      <xdr:spPr>
        <a:xfrm>
          <a:off x="2217420" y="2606040"/>
          <a:ext cx="2049780" cy="594360"/>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99544</xdr:colOff>
      <xdr:row>11</xdr:row>
      <xdr:rowOff>114300</xdr:rowOff>
    </xdr:from>
    <xdr:to>
      <xdr:col>19</xdr:col>
      <xdr:colOff>15240</xdr:colOff>
      <xdr:row>19</xdr:row>
      <xdr:rowOff>137160</xdr:rowOff>
    </xdr:to>
    <xdr:sp macro="" textlink="">
      <xdr:nvSpPr>
        <xdr:cNvPr id="15" name="Rectangle 14">
          <a:extLst>
            <a:ext uri="{FF2B5EF4-FFF2-40B4-BE49-F238E27FC236}">
              <a16:creationId xmlns:a16="http://schemas.microsoft.com/office/drawing/2014/main" id="{D82C2C83-0DC4-C9B1-3920-5D55C1B7E2FB}"/>
            </a:ext>
          </a:extLst>
        </xdr:cNvPr>
        <xdr:cNvSpPr/>
      </xdr:nvSpPr>
      <xdr:spPr>
        <a:xfrm>
          <a:off x="6805144" y="2125980"/>
          <a:ext cx="4792496" cy="14859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220980</xdr:colOff>
      <xdr:row>14</xdr:row>
      <xdr:rowOff>15240</xdr:rowOff>
    </xdr:from>
    <xdr:to>
      <xdr:col>10</xdr:col>
      <xdr:colOff>441960</xdr:colOff>
      <xdr:row>17</xdr:row>
      <xdr:rowOff>60960</xdr:rowOff>
    </xdr:to>
    <xdr:sp macro="" textlink="">
      <xdr:nvSpPr>
        <xdr:cNvPr id="18" name="Rectangle 17">
          <a:extLst>
            <a:ext uri="{FF2B5EF4-FFF2-40B4-BE49-F238E27FC236}">
              <a16:creationId xmlns:a16="http://schemas.microsoft.com/office/drawing/2014/main" id="{C1C2A102-B538-5E31-0BDE-95B5545F54C9}"/>
            </a:ext>
          </a:extLst>
        </xdr:cNvPr>
        <xdr:cNvSpPr/>
      </xdr:nvSpPr>
      <xdr:spPr>
        <a:xfrm>
          <a:off x="4488180" y="2575560"/>
          <a:ext cx="2049780" cy="594360"/>
        </a:xfrm>
        <a:prstGeom prst="rect">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129540</xdr:colOff>
      <xdr:row>20</xdr:row>
      <xdr:rowOff>22860</xdr:rowOff>
    </xdr:from>
    <xdr:to>
      <xdr:col>18</xdr:col>
      <xdr:colOff>541020</xdr:colOff>
      <xdr:row>27</xdr:row>
      <xdr:rowOff>60960</xdr:rowOff>
    </xdr:to>
    <xdr:sp macro="" textlink="">
      <xdr:nvSpPr>
        <xdr:cNvPr id="19" name="Rectangle 18">
          <a:extLst>
            <a:ext uri="{FF2B5EF4-FFF2-40B4-BE49-F238E27FC236}">
              <a16:creationId xmlns:a16="http://schemas.microsoft.com/office/drawing/2014/main" id="{0CCD0FE1-A926-20CD-1AF9-5836CEAC7B01}"/>
            </a:ext>
          </a:extLst>
        </xdr:cNvPr>
        <xdr:cNvSpPr/>
      </xdr:nvSpPr>
      <xdr:spPr>
        <a:xfrm>
          <a:off x="6835140" y="3680460"/>
          <a:ext cx="4678680" cy="131826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244324</xdr:colOff>
      <xdr:row>17</xdr:row>
      <xdr:rowOff>175260</xdr:rowOff>
    </xdr:from>
    <xdr:to>
      <xdr:col>10</xdr:col>
      <xdr:colOff>457200</xdr:colOff>
      <xdr:row>26</xdr:row>
      <xdr:rowOff>137160</xdr:rowOff>
    </xdr:to>
    <xdr:sp macro="" textlink="">
      <xdr:nvSpPr>
        <xdr:cNvPr id="20" name="Rectangle 19">
          <a:extLst>
            <a:ext uri="{FF2B5EF4-FFF2-40B4-BE49-F238E27FC236}">
              <a16:creationId xmlns:a16="http://schemas.microsoft.com/office/drawing/2014/main" id="{E007EB16-EAAE-03EC-C926-AFCD7487A136}"/>
            </a:ext>
          </a:extLst>
        </xdr:cNvPr>
        <xdr:cNvSpPr/>
      </xdr:nvSpPr>
      <xdr:spPr>
        <a:xfrm>
          <a:off x="2073124" y="3284220"/>
          <a:ext cx="4480076" cy="160782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175260</xdr:colOff>
      <xdr:row>14</xdr:row>
      <xdr:rowOff>60960</xdr:rowOff>
    </xdr:from>
    <xdr:to>
      <xdr:col>6</xdr:col>
      <xdr:colOff>563880</xdr:colOff>
      <xdr:row>16</xdr:row>
      <xdr:rowOff>7620</xdr:rowOff>
    </xdr:to>
    <xdr:sp macro="" textlink="">
      <xdr:nvSpPr>
        <xdr:cNvPr id="21" name="Rectangle 20">
          <a:extLst>
            <a:ext uri="{FF2B5EF4-FFF2-40B4-BE49-F238E27FC236}">
              <a16:creationId xmlns:a16="http://schemas.microsoft.com/office/drawing/2014/main" id="{C9B89180-EA3D-8309-61B9-1C365484ED0E}"/>
            </a:ext>
          </a:extLst>
        </xdr:cNvPr>
        <xdr:cNvSpPr/>
      </xdr:nvSpPr>
      <xdr:spPr>
        <a:xfrm>
          <a:off x="2613660" y="2621280"/>
          <a:ext cx="1607820" cy="312420"/>
        </a:xfrm>
        <a:prstGeom prst="rect">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     Total Amount</a:t>
          </a:r>
        </a:p>
      </xdr:txBody>
    </xdr:sp>
    <xdr:clientData/>
  </xdr:twoCellAnchor>
  <xdr:twoCellAnchor editAs="oneCell">
    <xdr:from>
      <xdr:col>3</xdr:col>
      <xdr:colOff>510540</xdr:colOff>
      <xdr:row>14</xdr:row>
      <xdr:rowOff>166302</xdr:rowOff>
    </xdr:from>
    <xdr:to>
      <xdr:col>4</xdr:col>
      <xdr:colOff>60960</xdr:colOff>
      <xdr:row>16</xdr:row>
      <xdr:rowOff>152108</xdr:rowOff>
    </xdr:to>
    <xdr:pic>
      <xdr:nvPicPr>
        <xdr:cNvPr id="32" name="Picture 31">
          <a:extLst>
            <a:ext uri="{FF2B5EF4-FFF2-40B4-BE49-F238E27FC236}">
              <a16:creationId xmlns:a16="http://schemas.microsoft.com/office/drawing/2014/main" id="{A1AB80CE-5F75-0704-8F78-8C1E4CBDA3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39340" y="2726622"/>
          <a:ext cx="220980" cy="336326"/>
        </a:xfrm>
        <a:prstGeom prst="rect">
          <a:avLst/>
        </a:prstGeom>
      </xdr:spPr>
    </xdr:pic>
    <xdr:clientData/>
  </xdr:twoCellAnchor>
  <xdr:twoCellAnchor editAs="oneCell">
    <xdr:from>
      <xdr:col>7</xdr:col>
      <xdr:colOff>274320</xdr:colOff>
      <xdr:row>14</xdr:row>
      <xdr:rowOff>121922</xdr:rowOff>
    </xdr:from>
    <xdr:to>
      <xdr:col>7</xdr:col>
      <xdr:colOff>533400</xdr:colOff>
      <xdr:row>16</xdr:row>
      <xdr:rowOff>165716</xdr:rowOff>
    </xdr:to>
    <xdr:pic>
      <xdr:nvPicPr>
        <xdr:cNvPr id="33" name="Picture 32">
          <a:extLst>
            <a:ext uri="{FF2B5EF4-FFF2-40B4-BE49-F238E27FC236}">
              <a16:creationId xmlns:a16="http://schemas.microsoft.com/office/drawing/2014/main" id="{1228647D-0BD5-E3D6-DCBB-1B25FE47BE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41520" y="2682242"/>
          <a:ext cx="259080" cy="394314"/>
        </a:xfrm>
        <a:prstGeom prst="rect">
          <a:avLst/>
        </a:prstGeom>
      </xdr:spPr>
    </xdr:pic>
    <xdr:clientData/>
  </xdr:twoCellAnchor>
  <xdr:twoCellAnchor>
    <xdr:from>
      <xdr:col>7</xdr:col>
      <xdr:colOff>579120</xdr:colOff>
      <xdr:row>14</xdr:row>
      <xdr:rowOff>15240</xdr:rowOff>
    </xdr:from>
    <xdr:to>
      <xdr:col>9</xdr:col>
      <xdr:colOff>510540</xdr:colOff>
      <xdr:row>15</xdr:row>
      <xdr:rowOff>99060</xdr:rowOff>
    </xdr:to>
    <xdr:sp macro="" textlink="">
      <xdr:nvSpPr>
        <xdr:cNvPr id="37" name="TextBox 36">
          <a:extLst>
            <a:ext uri="{FF2B5EF4-FFF2-40B4-BE49-F238E27FC236}">
              <a16:creationId xmlns:a16="http://schemas.microsoft.com/office/drawing/2014/main" id="{2819DAE3-8265-53E1-228C-BBA4F7044C1B}"/>
            </a:ext>
          </a:extLst>
        </xdr:cNvPr>
        <xdr:cNvSpPr txBox="1"/>
      </xdr:nvSpPr>
      <xdr:spPr>
        <a:xfrm>
          <a:off x="4846320" y="2575560"/>
          <a:ext cx="11506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sales</a:t>
          </a:r>
        </a:p>
      </xdr:txBody>
    </xdr:sp>
    <xdr:clientData/>
  </xdr:twoCellAnchor>
  <xdr:twoCellAnchor>
    <xdr:from>
      <xdr:col>11</xdr:col>
      <xdr:colOff>320040</xdr:colOff>
      <xdr:row>12</xdr:row>
      <xdr:rowOff>7620</xdr:rowOff>
    </xdr:from>
    <xdr:to>
      <xdr:col>13</xdr:col>
      <xdr:colOff>464820</xdr:colOff>
      <xdr:row>13</xdr:row>
      <xdr:rowOff>106680</xdr:rowOff>
    </xdr:to>
    <xdr:sp macro="" textlink="">
      <xdr:nvSpPr>
        <xdr:cNvPr id="39" name="TextBox 38">
          <a:extLst>
            <a:ext uri="{FF2B5EF4-FFF2-40B4-BE49-F238E27FC236}">
              <a16:creationId xmlns:a16="http://schemas.microsoft.com/office/drawing/2014/main" id="{3E774FB8-1A6F-153D-1890-12F87F3B0E77}"/>
            </a:ext>
          </a:extLst>
        </xdr:cNvPr>
        <xdr:cNvSpPr txBox="1"/>
      </xdr:nvSpPr>
      <xdr:spPr>
        <a:xfrm>
          <a:off x="7025640" y="2202180"/>
          <a:ext cx="136398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Sales by MOnth</a:t>
          </a:r>
        </a:p>
      </xdr:txBody>
    </xdr:sp>
    <xdr:clientData/>
  </xdr:twoCellAnchor>
  <xdr:twoCellAnchor>
    <xdr:from>
      <xdr:col>11</xdr:col>
      <xdr:colOff>91440</xdr:colOff>
      <xdr:row>20</xdr:row>
      <xdr:rowOff>53340</xdr:rowOff>
    </xdr:from>
    <xdr:to>
      <xdr:col>13</xdr:col>
      <xdr:colOff>129540</xdr:colOff>
      <xdr:row>21</xdr:row>
      <xdr:rowOff>91440</xdr:rowOff>
    </xdr:to>
    <xdr:sp macro="" textlink="">
      <xdr:nvSpPr>
        <xdr:cNvPr id="40" name="TextBox 39">
          <a:extLst>
            <a:ext uri="{FF2B5EF4-FFF2-40B4-BE49-F238E27FC236}">
              <a16:creationId xmlns:a16="http://schemas.microsoft.com/office/drawing/2014/main" id="{464660EA-5198-315E-2841-45D24DDC8BCF}"/>
            </a:ext>
          </a:extLst>
        </xdr:cNvPr>
        <xdr:cNvSpPr txBox="1"/>
      </xdr:nvSpPr>
      <xdr:spPr>
        <a:xfrm>
          <a:off x="6797040" y="3710940"/>
          <a:ext cx="125730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Sales by Region</a:t>
          </a:r>
        </a:p>
      </xdr:txBody>
    </xdr:sp>
    <xdr:clientData/>
  </xdr:twoCellAnchor>
  <xdr:twoCellAnchor>
    <xdr:from>
      <xdr:col>0</xdr:col>
      <xdr:colOff>533400</xdr:colOff>
      <xdr:row>8</xdr:row>
      <xdr:rowOff>83820</xdr:rowOff>
    </xdr:from>
    <xdr:to>
      <xdr:col>2</xdr:col>
      <xdr:colOff>342900</xdr:colOff>
      <xdr:row>10</xdr:row>
      <xdr:rowOff>53340</xdr:rowOff>
    </xdr:to>
    <xdr:sp macro="" textlink="">
      <xdr:nvSpPr>
        <xdr:cNvPr id="41" name="Rectangle: Rounded Corners 40">
          <a:hlinkClick xmlns:r="http://schemas.openxmlformats.org/officeDocument/2006/relationships" r:id="rId4"/>
          <a:extLst>
            <a:ext uri="{FF2B5EF4-FFF2-40B4-BE49-F238E27FC236}">
              <a16:creationId xmlns:a16="http://schemas.microsoft.com/office/drawing/2014/main" id="{6A6627CF-9A0F-834A-A38E-F242A48A866B}"/>
            </a:ext>
          </a:extLst>
        </xdr:cNvPr>
        <xdr:cNvSpPr/>
      </xdr:nvSpPr>
      <xdr:spPr>
        <a:xfrm>
          <a:off x="533400" y="1546860"/>
          <a:ext cx="1028700" cy="335280"/>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a:ln>
                <a:solidFill>
                  <a:sysClr val="windowText" lastClr="000000"/>
                </a:solidFill>
              </a:ln>
              <a:solidFill>
                <a:schemeClr val="tx1"/>
              </a:solidFill>
            </a:rPr>
            <a:t>PRODUCTS</a:t>
          </a:r>
        </a:p>
      </xdr:txBody>
    </xdr:sp>
    <xdr:clientData/>
  </xdr:twoCellAnchor>
  <xdr:twoCellAnchor>
    <xdr:from>
      <xdr:col>0</xdr:col>
      <xdr:colOff>518160</xdr:colOff>
      <xdr:row>5</xdr:row>
      <xdr:rowOff>137160</xdr:rowOff>
    </xdr:from>
    <xdr:to>
      <xdr:col>2</xdr:col>
      <xdr:colOff>335280</xdr:colOff>
      <xdr:row>8</xdr:row>
      <xdr:rowOff>0</xdr:rowOff>
    </xdr:to>
    <xdr:sp macro="" textlink="">
      <xdr:nvSpPr>
        <xdr:cNvPr id="42" name="Rectangle: Rounded Corners 41">
          <a:hlinkClick xmlns:r="http://schemas.openxmlformats.org/officeDocument/2006/relationships" r:id="rId5"/>
          <a:extLst>
            <a:ext uri="{FF2B5EF4-FFF2-40B4-BE49-F238E27FC236}">
              <a16:creationId xmlns:a16="http://schemas.microsoft.com/office/drawing/2014/main" id="{882BE78B-3337-499C-B0C5-E864FBA160B2}"/>
            </a:ext>
          </a:extLst>
        </xdr:cNvPr>
        <xdr:cNvSpPr/>
      </xdr:nvSpPr>
      <xdr:spPr>
        <a:xfrm>
          <a:off x="518160" y="1051560"/>
          <a:ext cx="1036320" cy="411480"/>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en-IN" sz="1100" b="0" cap="none" spc="0">
              <a:ln w="0">
                <a:solidFill>
                  <a:schemeClr val="tx1"/>
                </a:solidFill>
              </a:ln>
              <a:solidFill>
                <a:schemeClr val="tx1"/>
              </a:solidFill>
              <a:effectLst>
                <a:outerShdw blurRad="38100" dist="19050" dir="2700000" algn="tl" rotWithShape="0">
                  <a:schemeClr val="dk1">
                    <a:alpha val="40000"/>
                  </a:schemeClr>
                </a:outerShdw>
              </a:effectLst>
            </a:rPr>
            <a:t>DASHBOARD</a:t>
          </a:r>
        </a:p>
      </xdr:txBody>
    </xdr:sp>
    <xdr:clientData/>
  </xdr:twoCellAnchor>
  <xdr:twoCellAnchor>
    <xdr:from>
      <xdr:col>0</xdr:col>
      <xdr:colOff>533400</xdr:colOff>
      <xdr:row>11</xdr:row>
      <xdr:rowOff>38100</xdr:rowOff>
    </xdr:from>
    <xdr:to>
      <xdr:col>2</xdr:col>
      <xdr:colOff>411480</xdr:colOff>
      <xdr:row>12</xdr:row>
      <xdr:rowOff>175260</xdr:rowOff>
    </xdr:to>
    <xdr:sp macro="" textlink="">
      <xdr:nvSpPr>
        <xdr:cNvPr id="43" name="Rectangle: Rounded Corners 42">
          <a:hlinkClick xmlns:r="http://schemas.openxmlformats.org/officeDocument/2006/relationships" r:id="rId6"/>
          <a:extLst>
            <a:ext uri="{FF2B5EF4-FFF2-40B4-BE49-F238E27FC236}">
              <a16:creationId xmlns:a16="http://schemas.microsoft.com/office/drawing/2014/main" id="{278F879C-25E6-5FA4-E363-7C42B9A7BF39}"/>
            </a:ext>
          </a:extLst>
        </xdr:cNvPr>
        <xdr:cNvSpPr/>
      </xdr:nvSpPr>
      <xdr:spPr>
        <a:xfrm>
          <a:off x="533400" y="2049780"/>
          <a:ext cx="1097280" cy="32004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sz="1400">
              <a:ln>
                <a:solidFill>
                  <a:schemeClr val="tx1"/>
                </a:solidFill>
              </a:ln>
              <a:solidFill>
                <a:schemeClr val="tx1"/>
              </a:solidFill>
            </a:rPr>
            <a:t>Sales</a:t>
          </a:r>
          <a:r>
            <a:rPr lang="en-IN" sz="1400" baseline="0">
              <a:ln>
                <a:solidFill>
                  <a:schemeClr val="tx1"/>
                </a:solidFill>
              </a:ln>
              <a:solidFill>
                <a:schemeClr val="tx1"/>
              </a:solidFill>
            </a:rPr>
            <a:t> man</a:t>
          </a:r>
          <a:endParaRPr lang="en-IN" sz="1400">
            <a:ln>
              <a:solidFill>
                <a:schemeClr val="tx1"/>
              </a:solidFill>
            </a:ln>
            <a:solidFill>
              <a:schemeClr val="tx1"/>
            </a:solidFill>
          </a:endParaRPr>
        </a:p>
      </xdr:txBody>
    </xdr:sp>
    <xdr:clientData/>
  </xdr:twoCellAnchor>
  <xdr:twoCellAnchor>
    <xdr:from>
      <xdr:col>0</xdr:col>
      <xdr:colOff>548640</xdr:colOff>
      <xdr:row>13</xdr:row>
      <xdr:rowOff>167640</xdr:rowOff>
    </xdr:from>
    <xdr:to>
      <xdr:col>2</xdr:col>
      <xdr:colOff>335280</xdr:colOff>
      <xdr:row>15</xdr:row>
      <xdr:rowOff>129540</xdr:rowOff>
    </xdr:to>
    <xdr:sp macro="" textlink="">
      <xdr:nvSpPr>
        <xdr:cNvPr id="44" name="Rectangle: Rounded Corners 43">
          <a:hlinkClick xmlns:r="http://schemas.openxmlformats.org/officeDocument/2006/relationships" r:id="rId7"/>
          <a:extLst>
            <a:ext uri="{FF2B5EF4-FFF2-40B4-BE49-F238E27FC236}">
              <a16:creationId xmlns:a16="http://schemas.microsoft.com/office/drawing/2014/main" id="{265AB460-C76A-353F-9EB5-7C882FB7376C}"/>
            </a:ext>
          </a:extLst>
        </xdr:cNvPr>
        <xdr:cNvSpPr/>
      </xdr:nvSpPr>
      <xdr:spPr>
        <a:xfrm>
          <a:off x="548640" y="2545080"/>
          <a:ext cx="1005840" cy="32766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IN" sz="1400">
              <a:solidFill>
                <a:srgbClr val="002060"/>
              </a:solidFill>
            </a:rPr>
            <a:t>About</a:t>
          </a:r>
          <a:r>
            <a:rPr lang="en-IN" sz="1400" baseline="0">
              <a:solidFill>
                <a:srgbClr val="002060"/>
              </a:solidFill>
            </a:rPr>
            <a:t> us</a:t>
          </a:r>
          <a:endParaRPr lang="en-IN" sz="1400">
            <a:solidFill>
              <a:srgbClr val="002060"/>
            </a:solidFill>
          </a:endParaRPr>
        </a:p>
      </xdr:txBody>
    </xdr:sp>
    <xdr:clientData/>
  </xdr:twoCellAnchor>
  <xdr:twoCellAnchor editAs="oneCell">
    <xdr:from>
      <xdr:col>13</xdr:col>
      <xdr:colOff>198120</xdr:colOff>
      <xdr:row>2</xdr:row>
      <xdr:rowOff>45720</xdr:rowOff>
    </xdr:from>
    <xdr:to>
      <xdr:col>19</xdr:col>
      <xdr:colOff>198120</xdr:colOff>
      <xdr:row>6</xdr:row>
      <xdr:rowOff>60960</xdr:rowOff>
    </xdr:to>
    <mc:AlternateContent xmlns:mc="http://schemas.openxmlformats.org/markup-compatibility/2006" xmlns:a14="http://schemas.microsoft.com/office/drawing/2010/main">
      <mc:Choice Requires="a14">
        <xdr:graphicFrame macro="">
          <xdr:nvGraphicFramePr>
            <xdr:cNvPr id="49" name="Region 1">
              <a:extLst>
                <a:ext uri="{FF2B5EF4-FFF2-40B4-BE49-F238E27FC236}">
                  <a16:creationId xmlns:a16="http://schemas.microsoft.com/office/drawing/2014/main" id="{14F26D76-CA97-40C6-807C-E163006E458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915400" y="396240"/>
              <a:ext cx="402336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495300</xdr:colOff>
      <xdr:row>21</xdr:row>
      <xdr:rowOff>15240</xdr:rowOff>
    </xdr:from>
    <xdr:to>
      <xdr:col>18</xdr:col>
      <xdr:colOff>213360</xdr:colOff>
      <xdr:row>26</xdr:row>
      <xdr:rowOff>144780</xdr:rowOff>
    </xdr:to>
    <xdr:graphicFrame macro="">
      <xdr:nvGraphicFramePr>
        <xdr:cNvPr id="50" name="Chart 49">
          <a:extLst>
            <a:ext uri="{FF2B5EF4-FFF2-40B4-BE49-F238E27FC236}">
              <a16:creationId xmlns:a16="http://schemas.microsoft.com/office/drawing/2014/main" id="{8812D6D0-EF11-4701-A277-AB9A4B52D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381000</xdr:colOff>
      <xdr:row>1</xdr:row>
      <xdr:rowOff>160021</xdr:rowOff>
    </xdr:from>
    <xdr:to>
      <xdr:col>11</xdr:col>
      <xdr:colOff>525780</xdr:colOff>
      <xdr:row>6</xdr:row>
      <xdr:rowOff>121921</xdr:rowOff>
    </xdr:to>
    <mc:AlternateContent xmlns:mc="http://schemas.openxmlformats.org/markup-compatibility/2006" xmlns:a14="http://schemas.microsoft.com/office/drawing/2010/main">
      <mc:Choice Requires="a14">
        <xdr:graphicFrame macro="">
          <xdr:nvGraphicFramePr>
            <xdr:cNvPr id="51" name="Date 1">
              <a:extLst>
                <a:ext uri="{FF2B5EF4-FFF2-40B4-BE49-F238E27FC236}">
                  <a16:creationId xmlns:a16="http://schemas.microsoft.com/office/drawing/2014/main" id="{AE147EDA-E7BD-4CD8-A660-1906A4AFBF04}"/>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392680" y="335281"/>
              <a:ext cx="5509260" cy="838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427204</xdr:colOff>
      <xdr:row>13</xdr:row>
      <xdr:rowOff>22860</xdr:rowOff>
    </xdr:from>
    <xdr:to>
      <xdr:col>18</xdr:col>
      <xdr:colOff>221464</xdr:colOff>
      <xdr:row>19</xdr:row>
      <xdr:rowOff>60960</xdr:rowOff>
    </xdr:to>
    <xdr:graphicFrame macro="">
      <xdr:nvGraphicFramePr>
        <xdr:cNvPr id="52" name="Chart 51">
          <a:extLst>
            <a:ext uri="{FF2B5EF4-FFF2-40B4-BE49-F238E27FC236}">
              <a16:creationId xmlns:a16="http://schemas.microsoft.com/office/drawing/2014/main" id="{9E33E195-AD6F-4C67-9864-1C9DB06DF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327660</xdr:colOff>
      <xdr:row>7</xdr:row>
      <xdr:rowOff>137160</xdr:rowOff>
    </xdr:from>
    <xdr:to>
      <xdr:col>16</xdr:col>
      <xdr:colOff>220980</xdr:colOff>
      <xdr:row>11</xdr:row>
      <xdr:rowOff>15240</xdr:rowOff>
    </xdr:to>
    <mc:AlternateContent xmlns:mc="http://schemas.openxmlformats.org/markup-compatibility/2006" xmlns:a14="http://schemas.microsoft.com/office/drawing/2010/main">
      <mc:Choice Requires="a14">
        <xdr:graphicFrame macro="">
          <xdr:nvGraphicFramePr>
            <xdr:cNvPr id="53" name="Item 1">
              <a:extLst>
                <a:ext uri="{FF2B5EF4-FFF2-40B4-BE49-F238E27FC236}">
                  <a16:creationId xmlns:a16="http://schemas.microsoft.com/office/drawing/2014/main" id="{A0CD46FE-5378-47AA-ADC1-5F679F1A1397}"/>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339340" y="1363980"/>
              <a:ext cx="861060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267184</xdr:colOff>
      <xdr:row>19</xdr:row>
      <xdr:rowOff>53340</xdr:rowOff>
    </xdr:from>
    <xdr:to>
      <xdr:col>10</xdr:col>
      <xdr:colOff>167640</xdr:colOff>
      <xdr:row>26</xdr:row>
      <xdr:rowOff>60960</xdr:rowOff>
    </xdr:to>
    <xdr:graphicFrame macro="">
      <xdr:nvGraphicFramePr>
        <xdr:cNvPr id="55" name="Chart 54">
          <a:extLst>
            <a:ext uri="{FF2B5EF4-FFF2-40B4-BE49-F238E27FC236}">
              <a16:creationId xmlns:a16="http://schemas.microsoft.com/office/drawing/2014/main" id="{23AEF427-97B9-467E-902C-192C4F022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518160</xdr:colOff>
      <xdr:row>16</xdr:row>
      <xdr:rowOff>0</xdr:rowOff>
    </xdr:from>
    <xdr:to>
      <xdr:col>6</xdr:col>
      <xdr:colOff>106680</xdr:colOff>
      <xdr:row>17</xdr:row>
      <xdr:rowOff>22860</xdr:rowOff>
    </xdr:to>
    <xdr:sp macro="" textlink="'sales by region'!B34">
      <xdr:nvSpPr>
        <xdr:cNvPr id="56" name="Rectangle 55">
          <a:extLst>
            <a:ext uri="{FF2B5EF4-FFF2-40B4-BE49-F238E27FC236}">
              <a16:creationId xmlns:a16="http://schemas.microsoft.com/office/drawing/2014/main" id="{4CD4DCA8-E461-FDF0-13B7-7105DE6E0D70}"/>
            </a:ext>
          </a:extLst>
        </xdr:cNvPr>
        <xdr:cNvSpPr/>
      </xdr:nvSpPr>
      <xdr:spPr>
        <a:xfrm>
          <a:off x="2956560" y="2926080"/>
          <a:ext cx="807720" cy="2057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AF1BF9B-84C7-4C1E-97A5-F49589E5A44E}" type="TxLink">
            <a:rPr lang="en-US" sz="1100" b="1" i="0" u="none" strike="noStrike">
              <a:ln>
                <a:noFill/>
              </a:ln>
              <a:solidFill>
                <a:srgbClr val="000000"/>
              </a:solidFill>
              <a:latin typeface="Calibri"/>
              <a:cs typeface="Calibri"/>
            </a:rPr>
            <a:pPr algn="l"/>
            <a:t>1,71,75,950</a:t>
          </a:fld>
          <a:endParaRPr lang="en-IN" sz="1100" b="1">
            <a:ln>
              <a:noFill/>
            </a:ln>
          </a:endParaRPr>
        </a:p>
      </xdr:txBody>
    </xdr:sp>
    <xdr:clientData/>
  </xdr:twoCellAnchor>
  <xdr:twoCellAnchor>
    <xdr:from>
      <xdr:col>8</xdr:col>
      <xdr:colOff>175260</xdr:colOff>
      <xdr:row>15</xdr:row>
      <xdr:rowOff>121920</xdr:rowOff>
    </xdr:from>
    <xdr:to>
      <xdr:col>8</xdr:col>
      <xdr:colOff>502920</xdr:colOff>
      <xdr:row>16</xdr:row>
      <xdr:rowOff>175260</xdr:rowOff>
    </xdr:to>
    <xdr:sp macro="" textlink="'sales by region'!B38">
      <xdr:nvSpPr>
        <xdr:cNvPr id="57" name="Rectangle 56">
          <a:extLst>
            <a:ext uri="{FF2B5EF4-FFF2-40B4-BE49-F238E27FC236}">
              <a16:creationId xmlns:a16="http://schemas.microsoft.com/office/drawing/2014/main" id="{86EE534A-3A6E-807E-3348-5DA611548B58}"/>
            </a:ext>
          </a:extLst>
        </xdr:cNvPr>
        <xdr:cNvSpPr/>
      </xdr:nvSpPr>
      <xdr:spPr>
        <a:xfrm>
          <a:off x="5052060" y="2865120"/>
          <a:ext cx="327660" cy="23622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03B143D8-FEDA-4F62-9C7B-5ED54266D340}" type="TxLink">
            <a:rPr lang="en-US" sz="1100" b="0" i="0" u="none" strike="noStrike">
              <a:solidFill>
                <a:srgbClr val="000000"/>
              </a:solidFill>
              <a:latin typeface="Calibri"/>
              <a:cs typeface="Calibri"/>
            </a:rPr>
            <a:pPr algn="l"/>
            <a:t>28</a:t>
          </a:fld>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579120</xdr:colOff>
      <xdr:row>23</xdr:row>
      <xdr:rowOff>167640</xdr:rowOff>
    </xdr:from>
    <xdr:to>
      <xdr:col>10</xdr:col>
      <xdr:colOff>304800</xdr:colOff>
      <xdr:row>30</xdr:row>
      <xdr:rowOff>175260</xdr:rowOff>
    </xdr:to>
    <xdr:graphicFrame macro="">
      <xdr:nvGraphicFramePr>
        <xdr:cNvPr id="13" name="Chart 12">
          <a:extLst>
            <a:ext uri="{FF2B5EF4-FFF2-40B4-BE49-F238E27FC236}">
              <a16:creationId xmlns:a16="http://schemas.microsoft.com/office/drawing/2014/main" id="{5E7355C7-A27D-EDC8-EA6D-8CB70EBE0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205740</xdr:colOff>
      <xdr:row>34</xdr:row>
      <xdr:rowOff>15240</xdr:rowOff>
    </xdr:from>
    <xdr:to>
      <xdr:col>10</xdr:col>
      <xdr:colOff>152400</xdr:colOff>
      <xdr:row>38</xdr:row>
      <xdr:rowOff>15240</xdr:rowOff>
    </xdr:to>
    <xdr:graphicFrame macro="">
      <xdr:nvGraphicFramePr>
        <xdr:cNvPr id="14" name="Chart 13">
          <a:extLst>
            <a:ext uri="{FF2B5EF4-FFF2-40B4-BE49-F238E27FC236}">
              <a16:creationId xmlns:a16="http://schemas.microsoft.com/office/drawing/2014/main" id="{4FAAAB77-5859-5ADE-C12B-E8561BEC7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495300</xdr:colOff>
      <xdr:row>43</xdr:row>
      <xdr:rowOff>68580</xdr:rowOff>
    </xdr:from>
    <xdr:to>
      <xdr:col>14</xdr:col>
      <xdr:colOff>320040</xdr:colOff>
      <xdr:row>49</xdr:row>
      <xdr:rowOff>68580</xdr:rowOff>
    </xdr:to>
    <xdr:graphicFrame macro="">
      <xdr:nvGraphicFramePr>
        <xdr:cNvPr id="15" name="Chart 14">
          <a:extLst>
            <a:ext uri="{FF2B5EF4-FFF2-40B4-BE49-F238E27FC236}">
              <a16:creationId xmlns:a16="http://schemas.microsoft.com/office/drawing/2014/main" id="{7C93FC7E-BF3A-CE3A-8D5C-3C470CCEA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472440</xdr:colOff>
      <xdr:row>49</xdr:row>
      <xdr:rowOff>15240</xdr:rowOff>
    </xdr:from>
    <xdr:to>
      <xdr:col>14</xdr:col>
      <xdr:colOff>220980</xdr:colOff>
      <xdr:row>59</xdr:row>
      <xdr:rowOff>106680</xdr:rowOff>
    </xdr:to>
    <xdr:graphicFrame macro="">
      <xdr:nvGraphicFramePr>
        <xdr:cNvPr id="16" name="Chart 15">
          <a:extLst>
            <a:ext uri="{FF2B5EF4-FFF2-40B4-BE49-F238E27FC236}">
              <a16:creationId xmlns:a16="http://schemas.microsoft.com/office/drawing/2014/main" id="{FDD70D33-9FA3-A0E4-06EC-919BDA1937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243840</xdr:colOff>
      <xdr:row>2</xdr:row>
      <xdr:rowOff>167641</xdr:rowOff>
    </xdr:from>
    <xdr:to>
      <xdr:col>12</xdr:col>
      <xdr:colOff>434340</xdr:colOff>
      <xdr:row>7</xdr:row>
      <xdr:rowOff>7621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0975F7D-BDF2-AE89-BE71-D247DED418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07080" y="518161"/>
              <a:ext cx="555498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7</xdr:row>
      <xdr:rowOff>160021</xdr:rowOff>
    </xdr:from>
    <xdr:to>
      <xdr:col>16</xdr:col>
      <xdr:colOff>411480</xdr:colOff>
      <xdr:row>13</xdr:row>
      <xdr:rowOff>144780</xdr:rowOff>
    </xdr:to>
    <mc:AlternateContent xmlns:mc="http://schemas.openxmlformats.org/markup-compatibility/2006" xmlns:a14="http://schemas.microsoft.com/office/drawing/2010/main">
      <mc:Choice Requires="a14">
        <xdr:graphicFrame macro="">
          <xdr:nvGraphicFramePr>
            <xdr:cNvPr id="5" name="Date">
              <a:extLst>
                <a:ext uri="{FF2B5EF4-FFF2-40B4-BE49-F238E27FC236}">
                  <a16:creationId xmlns:a16="http://schemas.microsoft.com/office/drawing/2014/main" id="{E42191DD-D518-8367-4556-7881F8762A4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747260" y="1386841"/>
              <a:ext cx="6774180" cy="1036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7</xdr:row>
      <xdr:rowOff>160021</xdr:rowOff>
    </xdr:from>
    <xdr:to>
      <xdr:col>15</xdr:col>
      <xdr:colOff>609600</xdr:colOff>
      <xdr:row>13</xdr:row>
      <xdr:rowOff>76201</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C6F342F2-066C-39D6-08FF-4C16D1593903}"/>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4747260" y="1386841"/>
              <a:ext cx="630174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60960</xdr:colOff>
      <xdr:row>9</xdr:row>
      <xdr:rowOff>83820</xdr:rowOff>
    </xdr:from>
    <xdr:to>
      <xdr:col>13</xdr:col>
      <xdr:colOff>0</xdr:colOff>
      <xdr:row>19</xdr:row>
      <xdr:rowOff>38100</xdr:rowOff>
    </xdr:to>
    <xdr:graphicFrame macro="">
      <xdr:nvGraphicFramePr>
        <xdr:cNvPr id="8" name="Chart 7">
          <a:extLst>
            <a:ext uri="{FF2B5EF4-FFF2-40B4-BE49-F238E27FC236}">
              <a16:creationId xmlns:a16="http://schemas.microsoft.com/office/drawing/2014/main" id="{6C8F1A3A-0188-417E-1FBE-F3DE55D5F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396240</xdr:colOff>
      <xdr:row>32</xdr:row>
      <xdr:rowOff>7620</xdr:rowOff>
    </xdr:from>
    <xdr:to>
      <xdr:col>11</xdr:col>
      <xdr:colOff>563880</xdr:colOff>
      <xdr:row>37</xdr:row>
      <xdr:rowOff>121920</xdr:rowOff>
    </xdr:to>
    <xdr:graphicFrame macro="">
      <xdr:nvGraphicFramePr>
        <xdr:cNvPr id="9" name="Chart 8">
          <a:extLst>
            <a:ext uri="{FF2B5EF4-FFF2-40B4-BE49-F238E27FC236}">
              <a16:creationId xmlns:a16="http://schemas.microsoft.com/office/drawing/2014/main" id="{C8A45CFD-ED2C-D4F7-E107-F381E501C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44</xdr:row>
      <xdr:rowOff>114300</xdr:rowOff>
    </xdr:from>
    <xdr:to>
      <xdr:col>12</xdr:col>
      <xdr:colOff>266700</xdr:colOff>
      <xdr:row>52</xdr:row>
      <xdr:rowOff>129540</xdr:rowOff>
    </xdr:to>
    <xdr:graphicFrame macro="">
      <xdr:nvGraphicFramePr>
        <xdr:cNvPr id="10" name="Chart 9">
          <a:extLst>
            <a:ext uri="{FF2B5EF4-FFF2-40B4-BE49-F238E27FC236}">
              <a16:creationId xmlns:a16="http://schemas.microsoft.com/office/drawing/2014/main" id="{0363AAD7-A298-D988-AE6D-132B2E4C3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518160</xdr:colOff>
      <xdr:row>46</xdr:row>
      <xdr:rowOff>152400</xdr:rowOff>
    </xdr:from>
    <xdr:to>
      <xdr:col>11</xdr:col>
      <xdr:colOff>15240</xdr:colOff>
      <xdr:row>53</xdr:row>
      <xdr:rowOff>7620</xdr:rowOff>
    </xdr:to>
    <xdr:graphicFrame macro="">
      <xdr:nvGraphicFramePr>
        <xdr:cNvPr id="11" name="Chart 10">
          <a:extLst>
            <a:ext uri="{FF2B5EF4-FFF2-40B4-BE49-F238E27FC236}">
              <a16:creationId xmlns:a16="http://schemas.microsoft.com/office/drawing/2014/main" id="{FA400E41-D69C-3B30-D1E7-D6BDEDD84C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533400</xdr:colOff>
      <xdr:row>55</xdr:row>
      <xdr:rowOff>83820</xdr:rowOff>
    </xdr:from>
    <xdr:to>
      <xdr:col>9</xdr:col>
      <xdr:colOff>548640</xdr:colOff>
      <xdr:row>61</xdr:row>
      <xdr:rowOff>121920</xdr:rowOff>
    </xdr:to>
    <xdr:graphicFrame macro="">
      <xdr:nvGraphicFramePr>
        <xdr:cNvPr id="12" name="Chart 11">
          <a:extLst>
            <a:ext uri="{FF2B5EF4-FFF2-40B4-BE49-F238E27FC236}">
              <a16:creationId xmlns:a16="http://schemas.microsoft.com/office/drawing/2014/main" id="{BCD4744B-FBB6-08C7-1DC2-28212B558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373380</xdr:colOff>
      <xdr:row>65</xdr:row>
      <xdr:rowOff>99060</xdr:rowOff>
    </xdr:from>
    <xdr:to>
      <xdr:col>9</xdr:col>
      <xdr:colOff>411480</xdr:colOff>
      <xdr:row>74</xdr:row>
      <xdr:rowOff>22860</xdr:rowOff>
    </xdr:to>
    <xdr:graphicFrame macro="">
      <xdr:nvGraphicFramePr>
        <xdr:cNvPr id="13" name="Chart 12">
          <a:extLst>
            <a:ext uri="{FF2B5EF4-FFF2-40B4-BE49-F238E27FC236}">
              <a16:creationId xmlns:a16="http://schemas.microsoft.com/office/drawing/2014/main" id="{1E0D5DAE-F2BF-B404-FAB9-6FDF1E1DC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ind Shinde" refreshedDate="44788.711594444445" createdVersion="8" refreshedVersion="8" minRefreshableVersion="3" recordCount="28" xr:uid="{8B507E15-01C7-4A91-890D-3578970D3289}">
  <cacheSource type="worksheet">
    <worksheetSource ref="A1:H29" sheet="Data"/>
  </cacheSource>
  <cacheFields count="10">
    <cacheField name="SR number" numFmtId="0">
      <sharedItems containsSemiMixedTypes="0" containsString="0" containsNumber="1" containsInteger="1" minValue="1" maxValue="30"/>
    </cacheField>
    <cacheField name="Date" numFmtId="14">
      <sharedItems containsSemiMixedTypes="0" containsNonDate="0" containsDate="1" containsString="0" minDate="2022-01-24T00:00:00" maxDate="2022-12-15T00:00:00" count="27">
        <d v="2022-01-24T00:00:00"/>
        <d v="2022-01-29T00:00:00"/>
        <d v="2022-02-10T00:00:00"/>
        <d v="2022-02-11T00:00:00"/>
        <d v="2022-02-15T00:00:00"/>
        <d v="2022-03-12T00:00:00"/>
        <d v="2022-03-22T00:00:00"/>
        <d v="2022-03-25T00:00:00"/>
        <d v="2022-11-24T00:00:00"/>
        <d v="2022-12-14T00:00:00"/>
        <d v="2022-04-29T00:00:00"/>
        <d v="2022-05-12T00:00:00"/>
        <d v="2022-05-29T00:00:00"/>
        <d v="2022-06-11T00:00:00"/>
        <d v="2022-06-14T00:00:00"/>
        <d v="2022-06-21T00:00:00"/>
        <d v="2022-06-30T00:00:00"/>
        <d v="2022-07-11T00:00:00"/>
        <d v="2022-07-22T00:00:00"/>
        <d v="2022-08-02T00:00:00"/>
        <d v="2022-08-21T00:00:00"/>
        <d v="2022-09-13T00:00:00"/>
        <d v="2022-09-18T00:00:00"/>
        <d v="2022-10-03T00:00:00"/>
        <d v="2022-10-20T00:00:00"/>
        <d v="2022-10-22T00:00:00"/>
        <d v="2022-10-24T00:00:00"/>
      </sharedItems>
      <fieldGroup par="9" base="1">
        <rangePr groupBy="months" startDate="2022-01-24T00:00:00" endDate="2022-12-15T00:00:00"/>
        <groupItems count="14">
          <s v="&lt;24-01-2022"/>
          <s v="Jan"/>
          <s v="Feb"/>
          <s v="Mar"/>
          <s v="Apr"/>
          <s v="May"/>
          <s v="Jun"/>
          <s v="Jul"/>
          <s v="Aug"/>
          <s v="Sep"/>
          <s v="Oct"/>
          <s v="Nov"/>
          <s v="Dec"/>
          <s v="&gt;15-12-2022"/>
        </groupItems>
      </fieldGroup>
    </cacheField>
    <cacheField name="Salesman" numFmtId="0">
      <sharedItems count="5">
        <s v="Carla Molina"/>
        <s v="Husein Augar"/>
        <s v="Curtice Advani"/>
        <s v="Ram Mahesh"/>
        <s v="Brien Boise"/>
      </sharedItems>
    </cacheField>
    <cacheField name="Region" numFmtId="0">
      <sharedItems count="5">
        <s v="West"/>
        <s v="central"/>
        <s v="South"/>
        <s v="East"/>
        <s v="North"/>
      </sharedItems>
    </cacheField>
    <cacheField name="Item" numFmtId="0">
      <sharedItems count="6">
        <s v="Keyboard"/>
        <s v="Mouse"/>
        <s v="Monitor"/>
        <s v="Printer"/>
        <s v="Scanner"/>
        <s v="Speaker"/>
      </sharedItems>
    </cacheField>
    <cacheField name="qty" numFmtId="0">
      <sharedItems containsSemiMixedTypes="0" containsString="0" containsNumber="1" containsInteger="1" minValue="12" maxValue="536"/>
    </cacheField>
    <cacheField name="Price" numFmtId="0">
      <sharedItems containsSemiMixedTypes="0" containsString="0" containsNumber="1" containsInteger="1" minValue="450" maxValue="7200"/>
    </cacheField>
    <cacheField name="Amount" numFmtId="0">
      <sharedItems containsSemiMixedTypes="0" containsString="0" containsNumber="1" containsInteger="1" minValue="5400" maxValue="1773800"/>
    </cacheField>
    <cacheField name="Quarters" numFmtId="0" databaseField="0">
      <fieldGroup base="1">
        <rangePr groupBy="quarters" startDate="2022-01-24T00:00:00" endDate="2022-12-15T00:00:00"/>
        <groupItems count="6">
          <s v="&lt;24-01-2022"/>
          <s v="Qtr1"/>
          <s v="Qtr2"/>
          <s v="Qtr3"/>
          <s v="Qtr4"/>
          <s v="&gt;15-12-2022"/>
        </groupItems>
      </fieldGroup>
    </cacheField>
    <cacheField name="Years" numFmtId="0" databaseField="0">
      <fieldGroup base="1">
        <rangePr groupBy="years" startDate="2022-01-24T00:00:00" endDate="2022-12-15T00:00:00"/>
        <groupItems count="3">
          <s v="&lt;24-01-2022"/>
          <s v="2022"/>
          <s v="&gt;15-12-2022"/>
        </groupItems>
      </fieldGroup>
    </cacheField>
  </cacheFields>
  <extLst>
    <ext xmlns:x14="http://schemas.microsoft.com/office/spreadsheetml/2009/9/main" uri="{725AE2AE-9491-48be-B2B4-4EB974FC3084}">
      <x14:pivotCacheDefinition pivotCacheId="834465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n v="29"/>
    <x v="0"/>
    <x v="0"/>
    <x v="0"/>
    <x v="0"/>
    <n v="154"/>
    <n v="1200"/>
    <n v="184800"/>
  </r>
  <r>
    <n v="19"/>
    <x v="1"/>
    <x v="0"/>
    <x v="0"/>
    <x v="1"/>
    <n v="288"/>
    <n v="450"/>
    <n v="129600"/>
  </r>
  <r>
    <n v="3"/>
    <x v="2"/>
    <x v="1"/>
    <x v="1"/>
    <x v="2"/>
    <n v="276"/>
    <n v="3700"/>
    <n v="1021200"/>
  </r>
  <r>
    <n v="8"/>
    <x v="2"/>
    <x v="1"/>
    <x v="1"/>
    <x v="3"/>
    <n v="63"/>
    <n v="4900"/>
    <n v="308700"/>
  </r>
  <r>
    <n v="20"/>
    <x v="3"/>
    <x v="2"/>
    <x v="2"/>
    <x v="3"/>
    <n v="214"/>
    <n v="4900"/>
    <n v="1048600"/>
  </r>
  <r>
    <n v="18"/>
    <x v="4"/>
    <x v="1"/>
    <x v="1"/>
    <x v="4"/>
    <n v="147"/>
    <n v="7200"/>
    <n v="1058400"/>
  </r>
  <r>
    <n v="6"/>
    <x v="5"/>
    <x v="3"/>
    <x v="3"/>
    <x v="4"/>
    <n v="32"/>
    <n v="7200"/>
    <n v="230400"/>
  </r>
  <r>
    <n v="9"/>
    <x v="6"/>
    <x v="0"/>
    <x v="0"/>
    <x v="2"/>
    <n v="295"/>
    <n v="3700"/>
    <n v="1091500"/>
  </r>
  <r>
    <n v="21"/>
    <x v="7"/>
    <x v="3"/>
    <x v="3"/>
    <x v="2"/>
    <n v="432"/>
    <n v="3700"/>
    <n v="1598400"/>
  </r>
  <r>
    <n v="27"/>
    <x v="8"/>
    <x v="4"/>
    <x v="4"/>
    <x v="2"/>
    <n v="144"/>
    <n v="3700"/>
    <n v="532800"/>
  </r>
  <r>
    <n v="22"/>
    <x v="9"/>
    <x v="4"/>
    <x v="4"/>
    <x v="5"/>
    <n v="54"/>
    <n v="1700"/>
    <n v="91800"/>
  </r>
  <r>
    <n v="10"/>
    <x v="10"/>
    <x v="2"/>
    <x v="2"/>
    <x v="5"/>
    <n v="370"/>
    <n v="1700"/>
    <n v="629000"/>
  </r>
  <r>
    <n v="23"/>
    <x v="11"/>
    <x v="1"/>
    <x v="1"/>
    <x v="0"/>
    <n v="210"/>
    <n v="1200"/>
    <n v="252000"/>
  </r>
  <r>
    <n v="11"/>
    <x v="12"/>
    <x v="3"/>
    <x v="3"/>
    <x v="0"/>
    <n v="536"/>
    <n v="1200"/>
    <n v="643200"/>
  </r>
  <r>
    <n v="28"/>
    <x v="13"/>
    <x v="1"/>
    <x v="1"/>
    <x v="5"/>
    <n v="120"/>
    <n v="1700"/>
    <n v="204000"/>
  </r>
  <r>
    <n v="4"/>
    <x v="14"/>
    <x v="0"/>
    <x v="0"/>
    <x v="5"/>
    <n v="317"/>
    <n v="1700"/>
    <n v="538900"/>
  </r>
  <r>
    <n v="24"/>
    <x v="15"/>
    <x v="0"/>
    <x v="0"/>
    <x v="4"/>
    <n v="75"/>
    <n v="7200"/>
    <n v="540000"/>
  </r>
  <r>
    <n v="12"/>
    <x v="16"/>
    <x v="4"/>
    <x v="4"/>
    <x v="4"/>
    <n v="115"/>
    <n v="7200"/>
    <n v="828000"/>
  </r>
  <r>
    <n v="13"/>
    <x v="17"/>
    <x v="1"/>
    <x v="1"/>
    <x v="1"/>
    <n v="121"/>
    <n v="450"/>
    <n v="54450"/>
  </r>
  <r>
    <n v="25"/>
    <x v="18"/>
    <x v="2"/>
    <x v="2"/>
    <x v="1"/>
    <n v="12"/>
    <n v="450"/>
    <n v="5400"/>
  </r>
  <r>
    <n v="30"/>
    <x v="19"/>
    <x v="2"/>
    <x v="2"/>
    <x v="4"/>
    <n v="234"/>
    <n v="7200"/>
    <n v="1684800"/>
  </r>
  <r>
    <n v="14"/>
    <x v="20"/>
    <x v="0"/>
    <x v="0"/>
    <x v="3"/>
    <n v="184"/>
    <n v="4900"/>
    <n v="901600"/>
  </r>
  <r>
    <n v="15"/>
    <x v="21"/>
    <x v="2"/>
    <x v="2"/>
    <x v="2"/>
    <n v="106"/>
    <n v="3700"/>
    <n v="392200"/>
  </r>
  <r>
    <n v="5"/>
    <x v="22"/>
    <x v="2"/>
    <x v="2"/>
    <x v="0"/>
    <n v="178"/>
    <n v="1200"/>
    <n v="213600"/>
  </r>
  <r>
    <n v="26"/>
    <x v="23"/>
    <x v="3"/>
    <x v="3"/>
    <x v="3"/>
    <n v="362"/>
    <n v="4900"/>
    <n v="1773800"/>
  </r>
  <r>
    <n v="16"/>
    <x v="24"/>
    <x v="3"/>
    <x v="3"/>
    <x v="5"/>
    <n v="114"/>
    <n v="1700"/>
    <n v="193800"/>
  </r>
  <r>
    <n v="1"/>
    <x v="25"/>
    <x v="3"/>
    <x v="3"/>
    <x v="1"/>
    <n v="100"/>
    <n v="450"/>
    <n v="45000"/>
  </r>
  <r>
    <n v="2"/>
    <x v="26"/>
    <x v="4"/>
    <x v="4"/>
    <x v="3"/>
    <n v="200"/>
    <n v="4900"/>
    <n v="9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49EA6-15AA-4802-84D9-B6A7F726E16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58:B6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items count="7">
        <item x="0"/>
        <item x="2"/>
        <item x="1"/>
        <item x="3"/>
        <item x="4"/>
        <item x="5"/>
        <item t="default"/>
      </items>
    </pivotField>
    <pivotField showAll="0"/>
    <pivotField showAll="0"/>
    <pivotField dataField="1" showAll="0"/>
    <pivotField multipleItemSelectionAllowed="1" showAll="0" defaultSubtotal="0">
      <items count="6">
        <item sd="0" x="1"/>
        <item sd="0" x="2"/>
        <item sd="0" x="3"/>
        <item sd="0" x="4"/>
        <item x="0"/>
        <item x="5"/>
      </items>
    </pivotField>
    <pivotField multipleItemSelectionAllowed="1" showAll="0" defaultSubtotal="0">
      <items count="3">
        <item sd="0" x="1"/>
        <item x="0"/>
        <item x="2"/>
      </items>
    </pivotField>
  </pivotFields>
  <rowFields count="1">
    <field x="2"/>
  </rowFields>
  <rowItems count="6">
    <i>
      <x/>
    </i>
    <i>
      <x v="3"/>
    </i>
    <i>
      <x v="1"/>
    </i>
    <i>
      <x v="2"/>
    </i>
    <i>
      <x v="4"/>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14000-1B85-43CA-A573-5CC061B32FA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49:B5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items count="7">
        <item x="0"/>
        <item x="2"/>
        <item x="1"/>
        <item x="3"/>
        <item x="4"/>
        <item x="5"/>
        <item t="default"/>
      </items>
    </pivotField>
    <pivotField dataField="1" showAll="0"/>
    <pivotField showAll="0"/>
    <pivotField showAll="0"/>
    <pivotField multipleItemSelectionAllowed="1" showAll="0" defaultSubtotal="0">
      <items count="6">
        <item sd="0" x="1"/>
        <item sd="0" x="2"/>
        <item sd="0" x="3"/>
        <item sd="0" x="4"/>
        <item x="0"/>
        <item x="5"/>
      </items>
    </pivotField>
    <pivotField multipleItemSelectionAllowed="1" showAll="0" defaultSubtotal="0">
      <items count="3">
        <item sd="0" x="1"/>
        <item x="0"/>
        <item x="2"/>
      </items>
    </pivotField>
  </pivotFields>
  <rowFields count="1">
    <field x="2"/>
  </rowFields>
  <rowItems count="4">
    <i>
      <x v="2"/>
    </i>
    <i>
      <x v="3"/>
    </i>
    <i>
      <x/>
    </i>
    <i t="grand">
      <x/>
    </i>
  </rowItems>
  <colItems count="1">
    <i/>
  </colItems>
  <dataFields count="1">
    <dataField name="Sum of qty" fld="5" baseField="0" baseItem="0"/>
  </dataFields>
  <chartFormats count="3">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EDF49F-8141-4BB2-B4F6-A252DC0B176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40:B44"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measureFilter="1" sortType="a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pivotField showAll="0">
      <items count="7">
        <item x="0"/>
        <item x="2"/>
        <item x="1"/>
        <item x="3"/>
        <item x="4"/>
        <item x="5"/>
        <item t="default"/>
      </items>
    </pivotField>
    <pivotField dataField="1" showAll="0"/>
    <pivotField showAll="0"/>
    <pivotField showAll="0"/>
    <pivotField multipleItemSelectionAllowed="1" showAll="0" defaultSubtotal="0">
      <items count="6">
        <item sd="0" x="1"/>
        <item sd="0" x="2"/>
        <item sd="0" x="3"/>
        <item sd="0" x="4"/>
        <item x="0"/>
        <item x="5"/>
      </items>
    </pivotField>
    <pivotField multipleItemSelectionAllowed="1" showAll="0" defaultSubtotal="0">
      <items count="3">
        <item sd="0" x="1"/>
        <item x="0"/>
        <item x="2"/>
      </items>
    </pivotField>
  </pivotFields>
  <rowFields count="1">
    <field x="2"/>
  </rowFields>
  <rowItems count="4">
    <i>
      <x v="2"/>
    </i>
    <i>
      <x v="1"/>
    </i>
    <i>
      <x v="4"/>
    </i>
    <i t="grand">
      <x/>
    </i>
  </rowItems>
  <colItems count="1">
    <i/>
  </colItems>
  <dataFields count="1">
    <dataField name="Sum of qty" fld="5" baseField="0" baseItem="0"/>
  </dataFields>
  <chartFormats count="4">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305574-5A2E-4516-B88D-92D1A4C2A6B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2:B29"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7">
        <item x="0"/>
        <item x="2"/>
        <item x="1"/>
        <item x="3"/>
        <item x="4"/>
        <item x="5"/>
        <item t="default"/>
      </items>
    </pivotField>
    <pivotField showAll="0"/>
    <pivotField showAll="0"/>
    <pivotField dataField="1" showAll="0"/>
    <pivotField multipleItemSelectionAllowed="1" showAll="0" defaultSubtotal="0">
      <items count="6">
        <item sd="0" x="1"/>
        <item sd="0" x="2"/>
        <item sd="0" x="3"/>
        <item sd="0" x="4"/>
        <item x="0"/>
        <item x="5"/>
      </items>
    </pivotField>
    <pivotField multipleItemSelectionAllowed="1" showAll="0" defaultSubtotal="0">
      <items count="3">
        <item sd="0" x="1"/>
        <item x="0"/>
        <item x="2"/>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5">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BDE1F-1730-4913-97D4-DE5CCACF1B7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B1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1"/>
        <item x="3"/>
        <item x="4"/>
        <item x="2"/>
        <item x="0"/>
        <item t="default"/>
      </items>
    </pivotField>
    <pivotField showAll="0">
      <items count="7">
        <item x="0"/>
        <item x="2"/>
        <item x="1"/>
        <item x="3"/>
        <item x="4"/>
        <item x="5"/>
        <item t="default"/>
      </items>
    </pivotField>
    <pivotField showAll="0"/>
    <pivotField showAll="0"/>
    <pivotField dataField="1" showAll="0"/>
    <pivotField multipleItemSelectionAllowed="1" showAll="0" defaultSubtotal="0">
      <items count="6">
        <item sd="0" x="1"/>
        <item sd="0" x="2"/>
        <item sd="0" x="3"/>
        <item sd="0" x="4"/>
        <item x="0"/>
        <item x="5"/>
      </items>
    </pivotField>
    <pivotField multipleItemSelectionAllowed="1" showAll="0" defaultSubtotal="0">
      <items count="3">
        <item sd="0" x="1"/>
        <item x="0"/>
        <item x="2"/>
      </items>
    </pivotField>
  </pivotFields>
  <rowFields count="1">
    <field x="3"/>
  </rowFields>
  <rowItems count="6">
    <i>
      <x/>
    </i>
    <i>
      <x v="1"/>
    </i>
    <i>
      <x v="2"/>
    </i>
    <i>
      <x v="3"/>
    </i>
    <i>
      <x v="4"/>
    </i>
    <i t="grand">
      <x/>
    </i>
  </rowItems>
  <colItems count="1">
    <i/>
  </colItems>
  <dataFields count="1">
    <dataField name="Sum of Amount" fld="7"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34CA6C-7E29-4AC7-8C90-64B49D26C8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7:A38"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6">
        <item x="1"/>
        <item x="3"/>
        <item x="4"/>
        <item x="2"/>
        <item x="0"/>
        <item t="default"/>
      </items>
    </pivotField>
    <pivotField showAll="0">
      <items count="7">
        <item x="0"/>
        <item x="2"/>
        <item x="1"/>
        <item x="3"/>
        <item x="4"/>
        <item x="5"/>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3">
        <item sd="0" x="0"/>
        <item sd="0" x="1"/>
        <item sd="0" x="2"/>
      </items>
    </pivotField>
  </pivotFields>
  <rowItems count="1">
    <i/>
  </rowItems>
  <colItems count="1">
    <i/>
  </colItems>
  <dataFields count="1">
    <dataField name="Count of Amount" fld="7" subtotal="count" baseField="0" baseItem="7419318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72C881-5204-43B0-9FBD-8E3B5A5E341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B11"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6">
        <item x="1"/>
        <item x="3"/>
        <item x="4"/>
        <item x="2"/>
        <item x="0"/>
        <item t="default"/>
      </items>
    </pivotField>
    <pivotField axis="axisRow" showAll="0">
      <items count="7">
        <item x="0"/>
        <item x="2"/>
        <item x="1"/>
        <item x="3"/>
        <item x="4"/>
        <item x="5"/>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3">
        <item sd="0" x="0"/>
        <item sd="0" x="1"/>
        <item sd="0" x="2"/>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2">
    <chartFormat chart="14"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77D369-03B1-4353-BDF6-250A1929E5C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3:A34"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6">
        <item x="1"/>
        <item x="3"/>
        <item x="4"/>
        <item x="2"/>
        <item x="0"/>
        <item t="default"/>
      </items>
    </pivotField>
    <pivotField showAll="0">
      <items count="7">
        <item x="0"/>
        <item x="2"/>
        <item x="1"/>
        <item x="3"/>
        <item x="4"/>
        <item x="5"/>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3">
        <item sd="0" x="0"/>
        <item sd="0" x="1"/>
        <item sd="0" x="2"/>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D02796-A616-429D-9F46-894D36E603C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68:B7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6">
        <item x="1"/>
        <item x="3"/>
        <item x="4"/>
        <item x="2"/>
        <item x="0"/>
        <item t="default"/>
      </items>
    </pivotField>
    <pivotField axis="axisRow" showAll="0">
      <items count="7">
        <item x="0"/>
        <item x="2"/>
        <item x="1"/>
        <item x="3"/>
        <item x="4"/>
        <item x="5"/>
        <item t="default"/>
      </items>
    </pivotField>
    <pivotField dataField="1" showAll="0"/>
    <pivotField showAll="0"/>
    <pivotField showAll="0"/>
    <pivotField showAll="0" defaultSubtotal="0">
      <items count="6">
        <item sd="0" x="0"/>
        <item sd="0" x="1"/>
        <item sd="0" x="2"/>
        <item sd="0" x="3"/>
        <item sd="0" x="4"/>
        <item sd="0" x="5"/>
      </items>
    </pivotField>
    <pivotField showAll="0" defaultSubtotal="0">
      <items count="3">
        <item sd="0" x="0"/>
        <item sd="0" x="1"/>
        <item sd="0" x="2"/>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3">
    <chartFormat chart="50" format="0"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14D2FF-802E-4DC8-8CAA-C0A3719B3C3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0:B2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6">
        <item x="1"/>
        <item x="3"/>
        <item x="4"/>
        <item x="2"/>
        <item x="0"/>
        <item t="default"/>
      </items>
    </pivotField>
    <pivotField axis="axisRow" showAll="0">
      <items count="7">
        <item x="0"/>
        <item x="2"/>
        <item x="1"/>
        <item x="3"/>
        <item x="4"/>
        <item x="5"/>
        <item t="default"/>
      </items>
    </pivotField>
    <pivotField showAll="0"/>
    <pivotField showAll="0"/>
    <pivotField dataField="1" showAll="0"/>
    <pivotField showAll="0" defaultSubtotal="0">
      <items count="6">
        <item sd="0" x="0"/>
        <item sd="0" x="1"/>
        <item sd="0" x="2"/>
        <item sd="0" x="3"/>
        <item sd="0" x="4"/>
        <item sd="0" x="5"/>
      </items>
    </pivotField>
    <pivotField showAll="0" defaultSubtotal="0">
      <items count="3">
        <item sd="0" x="0"/>
        <item sd="0" x="1"/>
        <item sd="0" x="2"/>
      </items>
    </pivotField>
  </pivotFields>
  <rowFields count="1">
    <field x="4"/>
  </rowFields>
  <rowItems count="7">
    <i>
      <x/>
    </i>
    <i>
      <x v="1"/>
    </i>
    <i>
      <x v="2"/>
    </i>
    <i>
      <x v="3"/>
    </i>
    <i>
      <x v="4"/>
    </i>
    <i>
      <x v="5"/>
    </i>
    <i t="grand">
      <x/>
    </i>
  </rowItems>
  <colItems count="1">
    <i/>
  </colItems>
  <dataFields count="1">
    <dataField name="Sum of Amount" fld="7" showDataAs="percentOfCol" baseField="0" baseItem="0" numFmtId="10"/>
  </dataFields>
  <chartFormats count="6">
    <chartFormat chart="14" format="3"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42F309-4DC6-4202-A762-73C7EC56EDE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41:B4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6">
        <item x="1"/>
        <item x="3"/>
        <item x="4"/>
        <item x="2"/>
        <item x="0"/>
        <item t="default"/>
      </items>
    </pivotField>
    <pivotField axis="axisRow" showAll="0" sortType="ascending">
      <items count="7">
        <item x="0"/>
        <item x="2"/>
        <item x="1"/>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defaultSubtotal="0">
      <items count="6">
        <item sd="0" x="0"/>
        <item sd="0" x="1"/>
        <item sd="0" x="2"/>
        <item sd="0" x="3"/>
        <item sd="0" x="4"/>
        <item sd="0" x="5"/>
      </items>
    </pivotField>
    <pivotField showAll="0" defaultSubtotal="0">
      <items count="3">
        <item sd="0" x="0"/>
        <item sd="0" x="1"/>
        <item sd="0" x="2"/>
      </items>
    </pivotField>
  </pivotFields>
  <rowFields count="1">
    <field x="4"/>
  </rowFields>
  <rowItems count="7">
    <i>
      <x v="2"/>
    </i>
    <i>
      <x v="4"/>
    </i>
    <i>
      <x v="5"/>
    </i>
    <i>
      <x v="3"/>
    </i>
    <i>
      <x/>
    </i>
    <i>
      <x v="1"/>
    </i>
    <i t="grand">
      <x/>
    </i>
  </rowItems>
  <colItems count="1">
    <i/>
  </colItems>
  <dataFields count="1">
    <dataField name="Sum of qty" fld="5" baseField="0" baseItem="0"/>
  </dataFields>
  <chartFormats count="4">
    <chartFormat chart="32"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F5F979-AD5F-47DE-923F-1C29C501EE9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55:B6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6">
        <item x="1"/>
        <item x="3"/>
        <item x="4"/>
        <item x="2"/>
        <item x="0"/>
        <item t="default"/>
      </items>
    </pivotField>
    <pivotField axis="axisRow" showAll="0" sortType="descending">
      <items count="7">
        <item x="0"/>
        <item x="2"/>
        <item x="1"/>
        <item x="3"/>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defaultSubtotal="0">
      <items count="6">
        <item sd="0" x="0"/>
        <item sd="0" x="1"/>
        <item sd="0" x="2"/>
        <item sd="0" x="3"/>
        <item sd="0" x="4"/>
        <item sd="0" x="5"/>
      </items>
    </pivotField>
    <pivotField showAll="0" defaultSubtotal="0">
      <items count="3">
        <item sd="0" x="0"/>
        <item sd="0" x="1"/>
        <item sd="0" x="2"/>
      </items>
    </pivotField>
  </pivotFields>
  <rowFields count="1">
    <field x="4"/>
  </rowFields>
  <rowItems count="7">
    <i>
      <x v="1"/>
    </i>
    <i>
      <x/>
    </i>
    <i>
      <x v="3"/>
    </i>
    <i>
      <x v="5"/>
    </i>
    <i>
      <x v="4"/>
    </i>
    <i>
      <x v="2"/>
    </i>
    <i t="grand">
      <x/>
    </i>
  </rowItems>
  <colItems count="1">
    <i/>
  </colItems>
  <dataFields count="1">
    <dataField name="Sum of qty" fld="5" baseField="0" baseItem="0"/>
  </dataFields>
  <chartFormats count="6">
    <chartFormat chart="32"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4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E24FD1F-240A-4335-BA0D-9C407B82A76A}" sourceName="Region">
  <pivotTables>
    <pivotTable tabId="4" name="PivotTable3"/>
    <pivotTable tabId="4" name="PivotTable8"/>
    <pivotTable tabId="4" name="PivotTable9"/>
    <pivotTable tabId="4" name="PivotTable10"/>
    <pivotTable tabId="4" name="PivotTable11"/>
    <pivotTable tabId="4" name="PivotTable12"/>
    <pivotTable tabId="4" name="PivotTable13"/>
  </pivotTables>
  <data>
    <tabular pivotCacheId="834465747">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4C50656-C0E8-4378-9C82-5E4F0599788A}" sourceName="Date">
  <pivotTables>
    <pivotTable tabId="4" name="PivotTable3"/>
    <pivotTable tabId="4" name="PivotTable8"/>
    <pivotTable tabId="4" name="PivotTable9"/>
    <pivotTable tabId="4" name="PivotTable10"/>
    <pivotTable tabId="4" name="PivotTable11"/>
    <pivotTable tabId="4" name="PivotTable12"/>
    <pivotTable tabId="4" name="PivotTable13"/>
  </pivotTables>
  <data>
    <tabular pivotCacheId="834465747">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7EA9E09F-E7CA-4102-94CD-CED1113FADB2}" sourceName="Item">
  <pivotTables>
    <pivotTable tabId="4" name="PivotTable3"/>
    <pivotTable tabId="4" name="PivotTable8"/>
    <pivotTable tabId="4" name="PivotTable9"/>
    <pivotTable tabId="4" name="PivotTable10"/>
    <pivotTable tabId="3" name="PivotTable14"/>
    <pivotTable tabId="3" name="PivotTable15"/>
    <pivotTable tabId="3" name="PivotTable16"/>
    <pivotTable tabId="3" name="PivotTable2"/>
    <pivotTable tabId="3" name="PivotTable5"/>
    <pivotTable tabId="4" name="PivotTable11"/>
    <pivotTable tabId="4" name="PivotTable12"/>
    <pivotTable tabId="4" name="PivotTable13"/>
  </pivotTables>
  <data>
    <tabular pivotCacheId="834465747">
      <items count="6">
        <i x="0" s="1"/>
        <i x="2" s="1"/>
        <i x="1"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46AA3453-687C-4DBE-A597-B9D9463D800A}" cache="Slicer_Region1" caption="Region" columnCount="6" rowHeight="234950"/>
  <slicer name="Date 4" xr10:uid="{CCFD8077-44E0-4421-9D01-CEAF106CBD83}" cache="Slicer_Date" caption="Date" columnCount="8" rowHeight="234950"/>
  <slicer name="Item 4" xr10:uid="{244631D1-1848-40A9-8118-D8774FD6C29A}" cache="Slicer_Item1" caption="Item"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E87BDC9B-4AD5-44ED-AB10-AA19A0C8C2C0}" cache="Slicer_Region1" caption="Region" columnCount="6" rowHeight="234950"/>
  <slicer name="Date 3" xr10:uid="{CFD924E7-7282-4146-8940-8BEDC3045255}" cache="Slicer_Date" caption="Date" columnCount="8" rowHeight="234950"/>
  <slicer name="Item 3" xr10:uid="{02416EAF-ECCC-4228-B34C-D2BB45F6C357}" cache="Slicer_Item1" caption="Item" columnCoun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1AC37D24-A29D-4996-92C3-42EFDC3B0B1A}" cache="Slicer_Region1" caption="Region" columnCount="6" rowHeight="234950"/>
  <slicer name="Date 2" xr10:uid="{FFF75D73-0008-42EB-A82C-5C7B25202B76}" cache="Slicer_Date" caption="Date" columnCount="8" rowHeight="234950"/>
  <slicer name="Item 2" xr10:uid="{9DD63259-1D56-4DE9-8EF7-DDD44689F259}" cache="Slicer_Item1" caption="Item" columnCount="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23EFCCB-28A2-407D-B117-45D24902E03B}" cache="Slicer_Region1" caption="Region" columnCount="6" rowHeight="234950"/>
  <slicer name="Date 1" xr10:uid="{ED6F1713-5F55-44AC-A441-4DE183E48140}" cache="Slicer_Date" caption="Date" columnCount="8" rowHeight="234950"/>
  <slicer name="Item 1" xr10:uid="{5426135A-DF77-4560-8735-49A319AFBB98}" cache="Slicer_Item1" caption="Item" columnCount="6"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CF475F-DC7D-427C-84F8-4B122CF33343}" cache="Slicer_Region1" caption="Region" columnCount="6" rowHeight="234950"/>
  <slicer name="Date" xr10:uid="{BF5C7235-EF1E-4C4F-A5FC-3877629B974F}" cache="Slicer_Date" caption="Date" columnCount="8" rowHeight="234950"/>
  <slicer name="Item" xr10:uid="{EF3E6DE2-2A6A-4E17-8D4A-B93AEA491D2A}" cache="Slicer_Item1" caption="Item" columnCount="6" rowHeight="234950"/>
</slicers>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2FAB8-EF4B-45BF-AF18-1854C1DF1B49}">
  <dimension ref="A1"/>
  <sheetViews>
    <sheetView workbookViewId="0"/>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09571-4718-438B-B3C7-949112241E1A}">
  <dimension ref="A1"/>
  <sheetViews>
    <sheetView workbookViewId="0"/>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24F8-88C0-43F2-8527-C123E9906825}">
  <dimension ref="A1"/>
  <sheetViews>
    <sheetView tabSelected="1" workbookViewId="0"/>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93196-BE07-49B0-81C6-7508F98808F2}">
  <dimension ref="A1"/>
  <sheetViews>
    <sheetView workbookViewId="0"/>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ED703-30CD-4329-97EC-DA2A3EADB4F9}">
  <dimension ref="A7:B64"/>
  <sheetViews>
    <sheetView topLeftCell="A43" workbookViewId="0">
      <selection activeCell="B72" sqref="B72"/>
    </sheetView>
  </sheetViews>
  <sheetFormatPr defaultRowHeight="13.8" x14ac:dyDescent="0.25"/>
  <cols>
    <col min="1" max="1" width="12.59765625" bestFit="1" customWidth="1"/>
    <col min="2" max="2" width="14.296875" bestFit="1" customWidth="1"/>
  </cols>
  <sheetData>
    <row r="7" spans="1:2" x14ac:dyDescent="0.25">
      <c r="A7" s="9" t="s">
        <v>24</v>
      </c>
      <c r="B7" t="s">
        <v>26</v>
      </c>
    </row>
    <row r="8" spans="1:2" x14ac:dyDescent="0.25">
      <c r="A8" s="11" t="s">
        <v>15</v>
      </c>
      <c r="B8">
        <v>2898750</v>
      </c>
    </row>
    <row r="9" spans="1:2" x14ac:dyDescent="0.25">
      <c r="A9" s="11" t="s">
        <v>13</v>
      </c>
      <c r="B9">
        <v>4484600</v>
      </c>
    </row>
    <row r="10" spans="1:2" x14ac:dyDescent="0.25">
      <c r="A10" s="11" t="s">
        <v>14</v>
      </c>
      <c r="B10">
        <v>2432600</v>
      </c>
    </row>
    <row r="11" spans="1:2" x14ac:dyDescent="0.25">
      <c r="A11" s="11" t="s">
        <v>16</v>
      </c>
      <c r="B11">
        <v>3973600</v>
      </c>
    </row>
    <row r="12" spans="1:2" x14ac:dyDescent="0.25">
      <c r="A12" s="11" t="s">
        <v>17</v>
      </c>
      <c r="B12">
        <v>3386400</v>
      </c>
    </row>
    <row r="13" spans="1:2" x14ac:dyDescent="0.25">
      <c r="A13" s="11" t="s">
        <v>25</v>
      </c>
      <c r="B13">
        <v>17175950</v>
      </c>
    </row>
    <row r="22" spans="1:2" x14ac:dyDescent="0.25">
      <c r="A22" s="9" t="s">
        <v>24</v>
      </c>
      <c r="B22" t="s">
        <v>26</v>
      </c>
    </row>
    <row r="23" spans="1:2" x14ac:dyDescent="0.25">
      <c r="A23" s="11" t="s">
        <v>22</v>
      </c>
      <c r="B23" s="14">
        <v>7.5314611418873481E-2</v>
      </c>
    </row>
    <row r="24" spans="1:2" x14ac:dyDescent="0.25">
      <c r="A24" s="11" t="s">
        <v>20</v>
      </c>
      <c r="B24" s="14">
        <v>0.26991811224415535</v>
      </c>
    </row>
    <row r="25" spans="1:2" x14ac:dyDescent="0.25">
      <c r="A25" s="11" t="s">
        <v>19</v>
      </c>
      <c r="B25" s="14">
        <v>1.364990000553099E-2</v>
      </c>
    </row>
    <row r="26" spans="1:2" x14ac:dyDescent="0.25">
      <c r="A26" s="11" t="s">
        <v>18</v>
      </c>
      <c r="B26" s="14">
        <v>0.29184411924813475</v>
      </c>
    </row>
    <row r="27" spans="1:2" x14ac:dyDescent="0.25">
      <c r="A27" s="11" t="s">
        <v>23</v>
      </c>
      <c r="B27" s="14">
        <v>0.25277204463217462</v>
      </c>
    </row>
    <row r="28" spans="1:2" x14ac:dyDescent="0.25">
      <c r="A28" s="11" t="s">
        <v>21</v>
      </c>
      <c r="B28" s="14">
        <v>9.6501212451130802E-2</v>
      </c>
    </row>
    <row r="29" spans="1:2" x14ac:dyDescent="0.25">
      <c r="A29" s="11" t="s">
        <v>25</v>
      </c>
      <c r="B29" s="14">
        <v>1</v>
      </c>
    </row>
    <row r="30" spans="1:2" x14ac:dyDescent="0.25">
      <c r="A30" s="10"/>
    </row>
    <row r="31" spans="1:2" x14ac:dyDescent="0.25">
      <c r="A31" s="10"/>
    </row>
    <row r="32" spans="1:2" x14ac:dyDescent="0.25">
      <c r="A32" s="10"/>
    </row>
    <row r="33" spans="1:2" x14ac:dyDescent="0.25">
      <c r="A33" s="10"/>
    </row>
    <row r="34" spans="1:2" x14ac:dyDescent="0.25">
      <c r="A34" s="10"/>
    </row>
    <row r="35" spans="1:2" x14ac:dyDescent="0.25">
      <c r="A35" s="10"/>
    </row>
    <row r="36" spans="1:2" x14ac:dyDescent="0.25">
      <c r="A36" s="10"/>
    </row>
    <row r="37" spans="1:2" x14ac:dyDescent="0.25">
      <c r="A37" s="10"/>
    </row>
    <row r="38" spans="1:2" x14ac:dyDescent="0.25">
      <c r="A38" s="10"/>
    </row>
    <row r="39" spans="1:2" x14ac:dyDescent="0.25">
      <c r="A39" s="12"/>
      <c r="B39" s="13"/>
    </row>
    <row r="40" spans="1:2" x14ac:dyDescent="0.25">
      <c r="A40" s="9" t="s">
        <v>24</v>
      </c>
      <c r="B40" t="s">
        <v>27</v>
      </c>
    </row>
    <row r="41" spans="1:2" x14ac:dyDescent="0.25">
      <c r="A41" s="11" t="s">
        <v>12</v>
      </c>
      <c r="B41">
        <v>1114</v>
      </c>
    </row>
    <row r="42" spans="1:2" x14ac:dyDescent="0.25">
      <c r="A42" s="11" t="s">
        <v>11</v>
      </c>
      <c r="B42">
        <v>1313</v>
      </c>
    </row>
    <row r="43" spans="1:2" x14ac:dyDescent="0.25">
      <c r="A43" s="11" t="s">
        <v>8</v>
      </c>
      <c r="B43">
        <v>1576</v>
      </c>
    </row>
    <row r="44" spans="1:2" x14ac:dyDescent="0.25">
      <c r="A44" s="11" t="s">
        <v>25</v>
      </c>
      <c r="B44">
        <v>4003</v>
      </c>
    </row>
    <row r="49" spans="1:2" x14ac:dyDescent="0.25">
      <c r="A49" s="9" t="s">
        <v>24</v>
      </c>
      <c r="B49" t="s">
        <v>27</v>
      </c>
    </row>
    <row r="50" spans="1:2" x14ac:dyDescent="0.25">
      <c r="A50" s="11" t="s">
        <v>12</v>
      </c>
      <c r="B50">
        <v>1114</v>
      </c>
    </row>
    <row r="51" spans="1:2" x14ac:dyDescent="0.25">
      <c r="A51" s="11" t="s">
        <v>10</v>
      </c>
      <c r="B51">
        <v>937</v>
      </c>
    </row>
    <row r="52" spans="1:2" x14ac:dyDescent="0.25">
      <c r="A52" s="11" t="s">
        <v>9</v>
      </c>
      <c r="B52">
        <v>513</v>
      </c>
    </row>
    <row r="53" spans="1:2" x14ac:dyDescent="0.25">
      <c r="A53" s="11" t="s">
        <v>25</v>
      </c>
      <c r="B53">
        <v>2564</v>
      </c>
    </row>
    <row r="58" spans="1:2" x14ac:dyDescent="0.25">
      <c r="A58" s="9" t="s">
        <v>24</v>
      </c>
      <c r="B58" t="s">
        <v>26</v>
      </c>
    </row>
    <row r="59" spans="1:2" x14ac:dyDescent="0.25">
      <c r="A59" s="11" t="s">
        <v>9</v>
      </c>
      <c r="B59">
        <v>2432600</v>
      </c>
    </row>
    <row r="60" spans="1:2" x14ac:dyDescent="0.25">
      <c r="A60" s="11" t="s">
        <v>10</v>
      </c>
      <c r="B60">
        <v>2898750</v>
      </c>
    </row>
    <row r="61" spans="1:2" x14ac:dyDescent="0.25">
      <c r="A61" s="11" t="s">
        <v>11</v>
      </c>
      <c r="B61">
        <v>3386400</v>
      </c>
    </row>
    <row r="62" spans="1:2" x14ac:dyDescent="0.25">
      <c r="A62" s="11" t="s">
        <v>12</v>
      </c>
      <c r="B62">
        <v>3973600</v>
      </c>
    </row>
    <row r="63" spans="1:2" x14ac:dyDescent="0.25">
      <c r="A63" s="11" t="s">
        <v>8</v>
      </c>
      <c r="B63">
        <v>4484600</v>
      </c>
    </row>
    <row r="64" spans="1:2" x14ac:dyDescent="0.25">
      <c r="A64" s="11" t="s">
        <v>25</v>
      </c>
      <c r="B64">
        <v>17175950</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44D50-2EAC-4A46-852B-7C846D0E2DF4}">
  <dimension ref="A4:B75"/>
  <sheetViews>
    <sheetView topLeftCell="A58" workbookViewId="0">
      <selection activeCell="C88" sqref="C88"/>
    </sheetView>
  </sheetViews>
  <sheetFormatPr defaultRowHeight="13.8" x14ac:dyDescent="0.25"/>
  <cols>
    <col min="1" max="1" width="12.59765625" bestFit="1" customWidth="1"/>
    <col min="2" max="2" width="10" bestFit="1" customWidth="1"/>
  </cols>
  <sheetData>
    <row r="4" spans="1:2" x14ac:dyDescent="0.25">
      <c r="A4" s="9" t="s">
        <v>24</v>
      </c>
      <c r="B4" t="s">
        <v>26</v>
      </c>
    </row>
    <row r="5" spans="1:2" x14ac:dyDescent="0.25">
      <c r="A5" s="11" t="s">
        <v>22</v>
      </c>
      <c r="B5">
        <v>1293600</v>
      </c>
    </row>
    <row r="6" spans="1:2" x14ac:dyDescent="0.25">
      <c r="A6" s="11" t="s">
        <v>20</v>
      </c>
      <c r="B6">
        <v>4636100</v>
      </c>
    </row>
    <row r="7" spans="1:2" x14ac:dyDescent="0.25">
      <c r="A7" s="11" t="s">
        <v>19</v>
      </c>
      <c r="B7">
        <v>234450</v>
      </c>
    </row>
    <row r="8" spans="1:2" x14ac:dyDescent="0.25">
      <c r="A8" s="11" t="s">
        <v>18</v>
      </c>
      <c r="B8">
        <v>5012700</v>
      </c>
    </row>
    <row r="9" spans="1:2" x14ac:dyDescent="0.25">
      <c r="A9" s="11" t="s">
        <v>23</v>
      </c>
      <c r="B9">
        <v>4341600</v>
      </c>
    </row>
    <row r="10" spans="1:2" x14ac:dyDescent="0.25">
      <c r="A10" s="11" t="s">
        <v>21</v>
      </c>
      <c r="B10">
        <v>1657500</v>
      </c>
    </row>
    <row r="11" spans="1:2" x14ac:dyDescent="0.25">
      <c r="A11" s="11" t="s">
        <v>25</v>
      </c>
      <c r="B11">
        <v>17175950</v>
      </c>
    </row>
    <row r="20" spans="1:2" x14ac:dyDescent="0.25">
      <c r="A20" s="9" t="s">
        <v>24</v>
      </c>
      <c r="B20" t="s">
        <v>26</v>
      </c>
    </row>
    <row r="21" spans="1:2" x14ac:dyDescent="0.25">
      <c r="A21" s="11" t="s">
        <v>22</v>
      </c>
      <c r="B21" s="14">
        <v>7.5314611418873481E-2</v>
      </c>
    </row>
    <row r="22" spans="1:2" x14ac:dyDescent="0.25">
      <c r="A22" s="11" t="s">
        <v>20</v>
      </c>
      <c r="B22" s="14">
        <v>0.26991811224415535</v>
      </c>
    </row>
    <row r="23" spans="1:2" x14ac:dyDescent="0.25">
      <c r="A23" s="11" t="s">
        <v>19</v>
      </c>
      <c r="B23" s="14">
        <v>1.364990000553099E-2</v>
      </c>
    </row>
    <row r="24" spans="1:2" x14ac:dyDescent="0.25">
      <c r="A24" s="11" t="s">
        <v>18</v>
      </c>
      <c r="B24" s="14">
        <v>0.29184411924813475</v>
      </c>
    </row>
    <row r="25" spans="1:2" x14ac:dyDescent="0.25">
      <c r="A25" s="11" t="s">
        <v>23</v>
      </c>
      <c r="B25" s="14">
        <v>0.25277204463217462</v>
      </c>
    </row>
    <row r="26" spans="1:2" x14ac:dyDescent="0.25">
      <c r="A26" s="11" t="s">
        <v>21</v>
      </c>
      <c r="B26" s="14">
        <v>9.6501212451130802E-2</v>
      </c>
    </row>
    <row r="27" spans="1:2" x14ac:dyDescent="0.25">
      <c r="A27" s="11" t="s">
        <v>25</v>
      </c>
      <c r="B27" s="14">
        <v>1</v>
      </c>
    </row>
    <row r="33" spans="1:2" x14ac:dyDescent="0.25">
      <c r="A33" t="s">
        <v>26</v>
      </c>
    </row>
    <row r="34" spans="1:2" x14ac:dyDescent="0.25">
      <c r="A34">
        <v>17175950</v>
      </c>
      <c r="B34" s="15">
        <f>A34</f>
        <v>17175950</v>
      </c>
    </row>
    <row r="37" spans="1:2" x14ac:dyDescent="0.25">
      <c r="A37" t="s">
        <v>28</v>
      </c>
    </row>
    <row r="38" spans="1:2" x14ac:dyDescent="0.25">
      <c r="A38">
        <v>28</v>
      </c>
      <c r="B38">
        <f>A38</f>
        <v>28</v>
      </c>
    </row>
    <row r="41" spans="1:2" x14ac:dyDescent="0.25">
      <c r="A41" s="9" t="s">
        <v>24</v>
      </c>
      <c r="B41" t="s">
        <v>27</v>
      </c>
    </row>
    <row r="42" spans="1:2" x14ac:dyDescent="0.25">
      <c r="A42" s="11" t="s">
        <v>19</v>
      </c>
      <c r="B42">
        <v>521</v>
      </c>
    </row>
    <row r="43" spans="1:2" x14ac:dyDescent="0.25">
      <c r="A43" s="11" t="s">
        <v>23</v>
      </c>
      <c r="B43">
        <v>603</v>
      </c>
    </row>
    <row r="44" spans="1:2" x14ac:dyDescent="0.25">
      <c r="A44" s="11" t="s">
        <v>21</v>
      </c>
      <c r="B44">
        <v>975</v>
      </c>
    </row>
    <row r="45" spans="1:2" x14ac:dyDescent="0.25">
      <c r="A45" s="11" t="s">
        <v>18</v>
      </c>
      <c r="B45">
        <v>1023</v>
      </c>
    </row>
    <row r="46" spans="1:2" x14ac:dyDescent="0.25">
      <c r="A46" s="11" t="s">
        <v>22</v>
      </c>
      <c r="B46">
        <v>1078</v>
      </c>
    </row>
    <row r="47" spans="1:2" x14ac:dyDescent="0.25">
      <c r="A47" s="11" t="s">
        <v>20</v>
      </c>
      <c r="B47">
        <v>1253</v>
      </c>
    </row>
    <row r="48" spans="1:2" x14ac:dyDescent="0.25">
      <c r="A48" s="11" t="s">
        <v>25</v>
      </c>
      <c r="B48">
        <v>5453</v>
      </c>
    </row>
    <row r="55" spans="1:2" x14ac:dyDescent="0.25">
      <c r="A55" s="9" t="s">
        <v>24</v>
      </c>
      <c r="B55" t="s">
        <v>27</v>
      </c>
    </row>
    <row r="56" spans="1:2" x14ac:dyDescent="0.25">
      <c r="A56" s="11" t="s">
        <v>20</v>
      </c>
      <c r="B56">
        <v>1253</v>
      </c>
    </row>
    <row r="57" spans="1:2" x14ac:dyDescent="0.25">
      <c r="A57" s="11" t="s">
        <v>22</v>
      </c>
      <c r="B57">
        <v>1078</v>
      </c>
    </row>
    <row r="58" spans="1:2" x14ac:dyDescent="0.25">
      <c r="A58" s="11" t="s">
        <v>18</v>
      </c>
      <c r="B58">
        <v>1023</v>
      </c>
    </row>
    <row r="59" spans="1:2" x14ac:dyDescent="0.25">
      <c r="A59" s="11" t="s">
        <v>21</v>
      </c>
      <c r="B59">
        <v>975</v>
      </c>
    </row>
    <row r="60" spans="1:2" x14ac:dyDescent="0.25">
      <c r="A60" s="11" t="s">
        <v>23</v>
      </c>
      <c r="B60">
        <v>603</v>
      </c>
    </row>
    <row r="61" spans="1:2" x14ac:dyDescent="0.25">
      <c r="A61" s="11" t="s">
        <v>19</v>
      </c>
      <c r="B61">
        <v>521</v>
      </c>
    </row>
    <row r="62" spans="1:2" x14ac:dyDescent="0.25">
      <c r="A62" s="11" t="s">
        <v>25</v>
      </c>
      <c r="B62">
        <v>5453</v>
      </c>
    </row>
    <row r="68" spans="1:2" x14ac:dyDescent="0.25">
      <c r="A68" s="9" t="s">
        <v>24</v>
      </c>
      <c r="B68" t="s">
        <v>27</v>
      </c>
    </row>
    <row r="69" spans="1:2" x14ac:dyDescent="0.25">
      <c r="A69" s="11" t="s">
        <v>22</v>
      </c>
      <c r="B69">
        <v>1078</v>
      </c>
    </row>
    <row r="70" spans="1:2" x14ac:dyDescent="0.25">
      <c r="A70" s="11" t="s">
        <v>20</v>
      </c>
      <c r="B70">
        <v>1253</v>
      </c>
    </row>
    <row r="71" spans="1:2" x14ac:dyDescent="0.25">
      <c r="A71" s="11" t="s">
        <v>19</v>
      </c>
      <c r="B71">
        <v>521</v>
      </c>
    </row>
    <row r="72" spans="1:2" x14ac:dyDescent="0.25">
      <c r="A72" s="11" t="s">
        <v>18</v>
      </c>
      <c r="B72">
        <v>1023</v>
      </c>
    </row>
    <row r="73" spans="1:2" x14ac:dyDescent="0.25">
      <c r="A73" s="11" t="s">
        <v>23</v>
      </c>
      <c r="B73">
        <v>603</v>
      </c>
    </row>
    <row r="74" spans="1:2" x14ac:dyDescent="0.25">
      <c r="A74" s="11" t="s">
        <v>21</v>
      </c>
      <c r="B74">
        <v>975</v>
      </c>
    </row>
    <row r="75" spans="1:2" x14ac:dyDescent="0.25">
      <c r="A75" s="11" t="s">
        <v>25</v>
      </c>
      <c r="B75">
        <v>5453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2E76C-D0BC-43AF-8BC0-E92CEBEEC35E}">
  <dimension ref="A1:H29"/>
  <sheetViews>
    <sheetView topLeftCell="A10" workbookViewId="0">
      <selection sqref="A1:H22"/>
    </sheetView>
  </sheetViews>
  <sheetFormatPr defaultRowHeight="13.8" x14ac:dyDescent="0.25"/>
  <cols>
    <col min="1" max="1" width="8" customWidth="1"/>
    <col min="2" max="2" width="10.296875" customWidth="1"/>
    <col min="3" max="3" width="16.59765625" customWidth="1"/>
    <col min="4" max="4" width="12.59765625" customWidth="1"/>
  </cols>
  <sheetData>
    <row r="1" spans="1:8" x14ac:dyDescent="0.25">
      <c r="A1" s="8" t="s">
        <v>0</v>
      </c>
      <c r="B1" s="8" t="s">
        <v>1</v>
      </c>
      <c r="C1" s="8" t="s">
        <v>2</v>
      </c>
      <c r="D1" s="8" t="s">
        <v>3</v>
      </c>
      <c r="E1" s="8" t="s">
        <v>4</v>
      </c>
      <c r="F1" s="8" t="s">
        <v>5</v>
      </c>
      <c r="G1" s="8" t="s">
        <v>6</v>
      </c>
      <c r="H1" s="8" t="s">
        <v>7</v>
      </c>
    </row>
    <row r="2" spans="1:8" ht="16.8" x14ac:dyDescent="0.45">
      <c r="A2" s="1">
        <v>29</v>
      </c>
      <c r="B2" s="5">
        <v>44585</v>
      </c>
      <c r="C2" s="4" t="s">
        <v>11</v>
      </c>
      <c r="D2" s="1" t="s">
        <v>17</v>
      </c>
      <c r="E2" s="1" t="s">
        <v>22</v>
      </c>
      <c r="F2" s="7">
        <v>154</v>
      </c>
      <c r="G2" s="1">
        <v>1200</v>
      </c>
      <c r="H2" s="1">
        <f t="shared" ref="H2:H29" si="0">G2*F2</f>
        <v>184800</v>
      </c>
    </row>
    <row r="3" spans="1:8" ht="16.8" x14ac:dyDescent="0.45">
      <c r="A3" s="1">
        <v>19</v>
      </c>
      <c r="B3" s="5">
        <v>44590</v>
      </c>
      <c r="C3" s="4" t="s">
        <v>11</v>
      </c>
      <c r="D3" s="1" t="s">
        <v>17</v>
      </c>
      <c r="E3" s="1" t="s">
        <v>19</v>
      </c>
      <c r="F3" s="7">
        <v>288</v>
      </c>
      <c r="G3" s="1">
        <v>450</v>
      </c>
      <c r="H3" s="1">
        <f t="shared" si="0"/>
        <v>129600</v>
      </c>
    </row>
    <row r="4" spans="1:8" ht="16.8" x14ac:dyDescent="0.45">
      <c r="A4" s="1">
        <v>3</v>
      </c>
      <c r="B4" s="2">
        <v>44602</v>
      </c>
      <c r="C4" s="3" t="s">
        <v>10</v>
      </c>
      <c r="D4" s="1" t="s">
        <v>15</v>
      </c>
      <c r="E4" s="1" t="s">
        <v>20</v>
      </c>
      <c r="F4" s="1">
        <v>276</v>
      </c>
      <c r="G4" s="1">
        <v>3700</v>
      </c>
      <c r="H4" s="1">
        <f t="shared" si="0"/>
        <v>1021200</v>
      </c>
    </row>
    <row r="5" spans="1:8" ht="16.8" x14ac:dyDescent="0.45">
      <c r="A5" s="1">
        <v>8</v>
      </c>
      <c r="B5" s="5">
        <v>44602</v>
      </c>
      <c r="C5" s="3" t="s">
        <v>10</v>
      </c>
      <c r="D5" s="1" t="s">
        <v>15</v>
      </c>
      <c r="E5" s="1" t="s">
        <v>18</v>
      </c>
      <c r="F5" s="1">
        <v>63</v>
      </c>
      <c r="G5" s="1">
        <v>4900</v>
      </c>
      <c r="H5" s="1">
        <f t="shared" si="0"/>
        <v>308700</v>
      </c>
    </row>
    <row r="6" spans="1:8" ht="16.8" x14ac:dyDescent="0.45">
      <c r="A6" s="1">
        <v>20</v>
      </c>
      <c r="B6" s="5">
        <v>44603</v>
      </c>
      <c r="C6" s="3" t="s">
        <v>12</v>
      </c>
      <c r="D6" s="1" t="s">
        <v>16</v>
      </c>
      <c r="E6" s="1" t="s">
        <v>18</v>
      </c>
      <c r="F6" s="6">
        <v>214</v>
      </c>
      <c r="G6" s="1">
        <v>4900</v>
      </c>
      <c r="H6" s="1">
        <f t="shared" si="0"/>
        <v>1048600</v>
      </c>
    </row>
    <row r="7" spans="1:8" ht="16.8" x14ac:dyDescent="0.45">
      <c r="A7" s="1">
        <v>18</v>
      </c>
      <c r="B7" s="5">
        <v>44607</v>
      </c>
      <c r="C7" s="3" t="s">
        <v>10</v>
      </c>
      <c r="D7" s="1" t="s">
        <v>15</v>
      </c>
      <c r="E7" s="1" t="s">
        <v>23</v>
      </c>
      <c r="F7" s="6">
        <v>147</v>
      </c>
      <c r="G7" s="1">
        <v>7200</v>
      </c>
      <c r="H7" s="1">
        <f t="shared" si="0"/>
        <v>1058400</v>
      </c>
    </row>
    <row r="8" spans="1:8" ht="16.8" x14ac:dyDescent="0.45">
      <c r="A8" s="1">
        <v>6</v>
      </c>
      <c r="B8" s="2">
        <v>44632</v>
      </c>
      <c r="C8" s="3" t="s">
        <v>8</v>
      </c>
      <c r="D8" s="1" t="s">
        <v>13</v>
      </c>
      <c r="E8" s="1" t="s">
        <v>23</v>
      </c>
      <c r="F8" s="1">
        <v>32</v>
      </c>
      <c r="G8" s="1">
        <v>7200</v>
      </c>
      <c r="H8" s="1">
        <f t="shared" si="0"/>
        <v>230400</v>
      </c>
    </row>
    <row r="9" spans="1:8" ht="16.8" x14ac:dyDescent="0.45">
      <c r="A9" s="1">
        <v>9</v>
      </c>
      <c r="B9" s="5">
        <v>44642</v>
      </c>
      <c r="C9" s="4" t="s">
        <v>11</v>
      </c>
      <c r="D9" s="1" t="s">
        <v>17</v>
      </c>
      <c r="E9" s="1" t="s">
        <v>20</v>
      </c>
      <c r="F9" s="1">
        <v>295</v>
      </c>
      <c r="G9" s="1">
        <v>3700</v>
      </c>
      <c r="H9" s="1">
        <f t="shared" si="0"/>
        <v>1091500</v>
      </c>
    </row>
    <row r="10" spans="1:8" ht="16.8" x14ac:dyDescent="0.45">
      <c r="A10" s="1">
        <v>21</v>
      </c>
      <c r="B10" s="5">
        <v>44645</v>
      </c>
      <c r="C10" s="3" t="s">
        <v>8</v>
      </c>
      <c r="D10" s="1" t="s">
        <v>13</v>
      </c>
      <c r="E10" s="1" t="s">
        <v>20</v>
      </c>
      <c r="F10" s="7">
        <v>432</v>
      </c>
      <c r="G10" s="1">
        <v>3700</v>
      </c>
      <c r="H10" s="1">
        <f t="shared" si="0"/>
        <v>1598400</v>
      </c>
    </row>
    <row r="11" spans="1:8" ht="16.8" x14ac:dyDescent="0.45">
      <c r="A11" s="1">
        <v>27</v>
      </c>
      <c r="B11" s="5">
        <v>44889</v>
      </c>
      <c r="C11" s="4" t="s">
        <v>9</v>
      </c>
      <c r="D11" s="1" t="s">
        <v>14</v>
      </c>
      <c r="E11" s="1" t="s">
        <v>20</v>
      </c>
      <c r="F11" s="7">
        <v>144</v>
      </c>
      <c r="G11" s="1">
        <v>3700</v>
      </c>
      <c r="H11" s="1">
        <f t="shared" si="0"/>
        <v>532800</v>
      </c>
    </row>
    <row r="12" spans="1:8" ht="16.8" x14ac:dyDescent="0.45">
      <c r="A12" s="1">
        <v>22</v>
      </c>
      <c r="B12" s="5">
        <v>44909</v>
      </c>
      <c r="C12" s="4" t="s">
        <v>9</v>
      </c>
      <c r="D12" s="1" t="s">
        <v>14</v>
      </c>
      <c r="E12" s="1" t="s">
        <v>21</v>
      </c>
      <c r="F12" s="6">
        <v>54</v>
      </c>
      <c r="G12" s="1">
        <v>1700</v>
      </c>
      <c r="H12" s="1">
        <f t="shared" si="0"/>
        <v>91800</v>
      </c>
    </row>
    <row r="13" spans="1:8" ht="16.8" x14ac:dyDescent="0.45">
      <c r="A13" s="1">
        <v>10</v>
      </c>
      <c r="B13" s="5">
        <v>44680</v>
      </c>
      <c r="C13" s="3" t="s">
        <v>12</v>
      </c>
      <c r="D13" s="1" t="s">
        <v>16</v>
      </c>
      <c r="E13" s="1" t="s">
        <v>21</v>
      </c>
      <c r="F13" s="1">
        <v>370</v>
      </c>
      <c r="G13" s="1">
        <v>1700</v>
      </c>
      <c r="H13" s="1">
        <f t="shared" si="0"/>
        <v>629000</v>
      </c>
    </row>
    <row r="14" spans="1:8" ht="16.8" x14ac:dyDescent="0.45">
      <c r="A14" s="1">
        <v>23</v>
      </c>
      <c r="B14" s="5">
        <v>44693</v>
      </c>
      <c r="C14" s="3" t="s">
        <v>10</v>
      </c>
      <c r="D14" s="1" t="s">
        <v>15</v>
      </c>
      <c r="E14" s="1" t="s">
        <v>22</v>
      </c>
      <c r="F14" s="7">
        <v>210</v>
      </c>
      <c r="G14" s="1">
        <v>1200</v>
      </c>
      <c r="H14" s="1">
        <f t="shared" si="0"/>
        <v>252000</v>
      </c>
    </row>
    <row r="15" spans="1:8" ht="16.8" x14ac:dyDescent="0.45">
      <c r="A15" s="1">
        <v>11</v>
      </c>
      <c r="B15" s="5">
        <v>44710</v>
      </c>
      <c r="C15" s="3" t="s">
        <v>8</v>
      </c>
      <c r="D15" s="1" t="s">
        <v>13</v>
      </c>
      <c r="E15" s="1" t="s">
        <v>22</v>
      </c>
      <c r="F15" s="1">
        <v>536</v>
      </c>
      <c r="G15" s="1">
        <v>1200</v>
      </c>
      <c r="H15" s="1">
        <f t="shared" si="0"/>
        <v>643200</v>
      </c>
    </row>
    <row r="16" spans="1:8" ht="16.8" x14ac:dyDescent="0.45">
      <c r="A16" s="1">
        <v>28</v>
      </c>
      <c r="B16" s="5">
        <v>44723</v>
      </c>
      <c r="C16" s="3" t="s">
        <v>10</v>
      </c>
      <c r="D16" s="1" t="s">
        <v>15</v>
      </c>
      <c r="E16" s="1" t="s">
        <v>21</v>
      </c>
      <c r="F16" s="6">
        <v>120</v>
      </c>
      <c r="G16" s="1">
        <v>1700</v>
      </c>
      <c r="H16" s="1">
        <f t="shared" si="0"/>
        <v>204000</v>
      </c>
    </row>
    <row r="17" spans="1:8" ht="16.8" x14ac:dyDescent="0.45">
      <c r="A17" s="1">
        <v>4</v>
      </c>
      <c r="B17" s="2">
        <v>44726</v>
      </c>
      <c r="C17" s="4" t="s">
        <v>11</v>
      </c>
      <c r="D17" s="1" t="s">
        <v>17</v>
      </c>
      <c r="E17" s="1" t="s">
        <v>21</v>
      </c>
      <c r="F17" s="1">
        <v>317</v>
      </c>
      <c r="G17" s="1">
        <v>1700</v>
      </c>
      <c r="H17" s="1">
        <f t="shared" si="0"/>
        <v>538900</v>
      </c>
    </row>
    <row r="18" spans="1:8" ht="16.8" x14ac:dyDescent="0.45">
      <c r="A18" s="1">
        <v>24</v>
      </c>
      <c r="B18" s="5">
        <v>44733</v>
      </c>
      <c r="C18" s="4" t="s">
        <v>11</v>
      </c>
      <c r="D18" s="1" t="s">
        <v>17</v>
      </c>
      <c r="E18" s="1" t="s">
        <v>23</v>
      </c>
      <c r="F18" s="6">
        <v>75</v>
      </c>
      <c r="G18" s="1">
        <v>7200</v>
      </c>
      <c r="H18" s="1">
        <f t="shared" si="0"/>
        <v>540000</v>
      </c>
    </row>
    <row r="19" spans="1:8" ht="16.8" x14ac:dyDescent="0.45">
      <c r="A19" s="1">
        <v>12</v>
      </c>
      <c r="B19" s="5">
        <v>44742</v>
      </c>
      <c r="C19" s="4" t="s">
        <v>9</v>
      </c>
      <c r="D19" s="1" t="s">
        <v>14</v>
      </c>
      <c r="E19" s="1" t="s">
        <v>23</v>
      </c>
      <c r="F19" s="1">
        <v>115</v>
      </c>
      <c r="G19" s="1">
        <v>7200</v>
      </c>
      <c r="H19" s="1">
        <f t="shared" si="0"/>
        <v>828000</v>
      </c>
    </row>
    <row r="20" spans="1:8" ht="16.8" x14ac:dyDescent="0.45">
      <c r="A20" s="1">
        <v>13</v>
      </c>
      <c r="B20" s="5">
        <v>44753</v>
      </c>
      <c r="C20" s="3" t="s">
        <v>10</v>
      </c>
      <c r="D20" s="1" t="s">
        <v>15</v>
      </c>
      <c r="E20" s="1" t="s">
        <v>19</v>
      </c>
      <c r="F20" s="1">
        <v>121</v>
      </c>
      <c r="G20" s="1">
        <v>450</v>
      </c>
      <c r="H20" s="1">
        <f t="shared" si="0"/>
        <v>54450</v>
      </c>
    </row>
    <row r="21" spans="1:8" ht="16.8" x14ac:dyDescent="0.45">
      <c r="A21" s="1">
        <v>25</v>
      </c>
      <c r="B21" s="5">
        <v>44764</v>
      </c>
      <c r="C21" s="3" t="s">
        <v>12</v>
      </c>
      <c r="D21" s="1" t="s">
        <v>16</v>
      </c>
      <c r="E21" s="1" t="s">
        <v>19</v>
      </c>
      <c r="F21" s="7">
        <v>12</v>
      </c>
      <c r="G21" s="1">
        <v>450</v>
      </c>
      <c r="H21" s="1">
        <f t="shared" si="0"/>
        <v>5400</v>
      </c>
    </row>
    <row r="22" spans="1:8" ht="16.8" x14ac:dyDescent="0.45">
      <c r="A22" s="1">
        <v>30</v>
      </c>
      <c r="B22" s="5">
        <v>44775</v>
      </c>
      <c r="C22" s="3" t="s">
        <v>12</v>
      </c>
      <c r="D22" s="1" t="s">
        <v>16</v>
      </c>
      <c r="E22" s="1" t="s">
        <v>23</v>
      </c>
      <c r="F22" s="6">
        <v>234</v>
      </c>
      <c r="G22" s="1">
        <v>7200</v>
      </c>
      <c r="H22" s="1">
        <f t="shared" si="0"/>
        <v>1684800</v>
      </c>
    </row>
    <row r="23" spans="1:8" ht="16.8" x14ac:dyDescent="0.45">
      <c r="A23" s="1">
        <v>14</v>
      </c>
      <c r="B23" s="5">
        <v>44794</v>
      </c>
      <c r="C23" s="4" t="s">
        <v>11</v>
      </c>
      <c r="D23" s="1" t="s">
        <v>17</v>
      </c>
      <c r="E23" s="1" t="s">
        <v>18</v>
      </c>
      <c r="F23" s="1">
        <v>184</v>
      </c>
      <c r="G23" s="1">
        <v>4900</v>
      </c>
      <c r="H23" s="1">
        <f t="shared" si="0"/>
        <v>901600</v>
      </c>
    </row>
    <row r="24" spans="1:8" ht="16.8" x14ac:dyDescent="0.45">
      <c r="A24" s="1">
        <v>15</v>
      </c>
      <c r="B24" s="5">
        <v>44817</v>
      </c>
      <c r="C24" s="3" t="s">
        <v>12</v>
      </c>
      <c r="D24" s="1" t="s">
        <v>16</v>
      </c>
      <c r="E24" s="1" t="s">
        <v>20</v>
      </c>
      <c r="F24" s="1">
        <v>106</v>
      </c>
      <c r="G24" s="1">
        <v>3700</v>
      </c>
      <c r="H24" s="1">
        <f t="shared" si="0"/>
        <v>392200</v>
      </c>
    </row>
    <row r="25" spans="1:8" ht="16.8" x14ac:dyDescent="0.45">
      <c r="A25" s="1">
        <v>5</v>
      </c>
      <c r="B25" s="2">
        <v>44822</v>
      </c>
      <c r="C25" s="3" t="s">
        <v>12</v>
      </c>
      <c r="D25" s="1" t="s">
        <v>16</v>
      </c>
      <c r="E25" s="1" t="s">
        <v>22</v>
      </c>
      <c r="F25" s="1">
        <v>178</v>
      </c>
      <c r="G25" s="1">
        <v>1200</v>
      </c>
      <c r="H25" s="1">
        <f t="shared" si="0"/>
        <v>213600</v>
      </c>
    </row>
    <row r="26" spans="1:8" ht="16.8" x14ac:dyDescent="0.45">
      <c r="A26" s="1">
        <v>26</v>
      </c>
      <c r="B26" s="5">
        <v>44837</v>
      </c>
      <c r="C26" s="3" t="s">
        <v>8</v>
      </c>
      <c r="D26" s="1" t="s">
        <v>13</v>
      </c>
      <c r="E26" s="1" t="s">
        <v>18</v>
      </c>
      <c r="F26" s="6">
        <v>362</v>
      </c>
      <c r="G26" s="1">
        <v>4900</v>
      </c>
      <c r="H26" s="1">
        <f t="shared" si="0"/>
        <v>1773800</v>
      </c>
    </row>
    <row r="27" spans="1:8" ht="16.8" x14ac:dyDescent="0.45">
      <c r="A27" s="1">
        <v>16</v>
      </c>
      <c r="B27" s="5">
        <v>44854</v>
      </c>
      <c r="C27" s="3" t="s">
        <v>8</v>
      </c>
      <c r="D27" s="1" t="s">
        <v>13</v>
      </c>
      <c r="E27" s="1" t="s">
        <v>21</v>
      </c>
      <c r="F27" s="6">
        <v>114</v>
      </c>
      <c r="G27" s="1">
        <v>1700</v>
      </c>
      <c r="H27" s="1">
        <f t="shared" si="0"/>
        <v>193800</v>
      </c>
    </row>
    <row r="28" spans="1:8" ht="16.8" x14ac:dyDescent="0.45">
      <c r="A28" s="1">
        <v>1</v>
      </c>
      <c r="B28" s="2">
        <v>44856</v>
      </c>
      <c r="C28" s="3" t="s">
        <v>8</v>
      </c>
      <c r="D28" s="1" t="s">
        <v>13</v>
      </c>
      <c r="E28" s="1" t="s">
        <v>19</v>
      </c>
      <c r="F28" s="1">
        <v>100</v>
      </c>
      <c r="G28" s="1">
        <v>450</v>
      </c>
      <c r="H28" s="1">
        <f t="shared" si="0"/>
        <v>45000</v>
      </c>
    </row>
    <row r="29" spans="1:8" ht="16.8" x14ac:dyDescent="0.45">
      <c r="A29" s="1">
        <v>2</v>
      </c>
      <c r="B29" s="2">
        <v>44858</v>
      </c>
      <c r="C29" s="4" t="s">
        <v>9</v>
      </c>
      <c r="D29" s="1" t="s">
        <v>14</v>
      </c>
      <c r="E29" s="1" t="s">
        <v>18</v>
      </c>
      <c r="F29" s="1">
        <v>200</v>
      </c>
      <c r="G29" s="1">
        <v>4900</v>
      </c>
      <c r="H29" s="1">
        <f t="shared" si="0"/>
        <v>980000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Abouts</vt:lpstr>
      <vt:lpstr>Salesman</vt:lpstr>
      <vt:lpstr>Product</vt:lpstr>
      <vt:lpstr>Dashboard</vt:lpstr>
      <vt:lpstr>pivot tabe</vt:lpstr>
      <vt:lpstr>sales by region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Milind Shinde</dc:creator>
  <cp:lastModifiedBy>Milind Shinde</cp:lastModifiedBy>
  <dcterms:created xsi:type="dcterms:W3CDTF">2022-08-15T06:57:55Z</dcterms:created>
  <dcterms:modified xsi:type="dcterms:W3CDTF">2026-06-24T17:33:22Z</dcterms:modified>
</cp:coreProperties>
</file>